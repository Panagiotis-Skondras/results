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5.xml" ContentType="application/vnd.openxmlformats-officedocument.drawingml.chart+xml"/>
  <Override PartName="/xl/theme/themeOverride2.xml" ContentType="application/vnd.openxmlformats-officedocument.themeOverride+xml"/>
  <Override PartName="/xl/charts/chart6.xml" ContentType="application/vnd.openxmlformats-officedocument.drawingml.chart+xml"/>
  <Override PartName="/xl/theme/themeOverride3.xml" ContentType="application/vnd.openxmlformats-officedocument.themeOverride+xml"/>
  <Override PartName="/xl/charts/chart7.xml" ContentType="application/vnd.openxmlformats-officedocument.drawingml.chart+xml"/>
  <Override PartName="/xl/theme/themeOverride4.xml" ContentType="application/vnd.openxmlformats-officedocument.themeOverride+xml"/>
  <Override PartName="/xl/charts/chart8.xml" ContentType="application/vnd.openxmlformats-officedocument.drawingml.chart+xml"/>
  <Override PartName="/xl/theme/themeOverride5.xml" ContentType="application/vnd.openxmlformats-officedocument.themeOverride+xml"/>
  <Override PartName="/xl/charts/chart9.xml" ContentType="application/vnd.openxmlformats-officedocument.drawingml.chart+xml"/>
  <Override PartName="/xl/theme/themeOverride6.xml" ContentType="application/vnd.openxmlformats-officedocument.themeOverride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7.xml" ContentType="application/vnd.openxmlformats-officedocument.themeOverride+xml"/>
  <Override PartName="/xl/charts/chart11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heme/themeOverride8.xml" ContentType="application/vnd.openxmlformats-officedocument.themeOverride+xml"/>
  <Override PartName="/xl/charts/chart1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heme/themeOverride9.xml" ContentType="application/vnd.openxmlformats-officedocument.themeOverride+xml"/>
  <Override PartName="/xl/charts/chart1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10.xml" ContentType="application/vnd.openxmlformats-officedocument.themeOverride+xml"/>
  <Override PartName="/xl/charts/chart1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11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hd-papers\paper-4\results\Intellij\"/>
    </mc:Choice>
  </mc:AlternateContent>
  <xr:revisionPtr revIDLastSave="0" documentId="13_ncr:1_{177F42EB-AFBB-4914-AD26-D6278B09DE82}" xr6:coauthVersionLast="47" xr6:coauthVersionMax="47" xr10:uidLastSave="{00000000-0000-0000-0000-000000000000}"/>
  <bookViews>
    <workbookView xWindow="-120" yWindow="-120" windowWidth="29040" windowHeight="15225" xr2:uid="{00000000-000D-0000-FFFF-FFFF00000000}"/>
  </bookViews>
  <sheets>
    <sheet name="jobPost-to-resumes.xlsx" sheetId="1" r:id="rId1"/>
  </sheets>
  <calcPr calcId="191029"/>
</workbook>
</file>

<file path=xl/calcChain.xml><?xml version="1.0" encoding="utf-8"?>
<calcChain xmlns="http://schemas.openxmlformats.org/spreadsheetml/2006/main">
  <c r="E62" i="1" l="1"/>
  <c r="E61" i="1"/>
  <c r="E60" i="1"/>
  <c r="E59" i="1"/>
  <c r="E58" i="1"/>
  <c r="D62" i="1"/>
  <c r="D61" i="1"/>
  <c r="D60" i="1"/>
  <c r="D59" i="1"/>
  <c r="D58" i="1"/>
  <c r="X25" i="1"/>
  <c r="X19" i="1"/>
  <c r="X14" i="1"/>
  <c r="X8" i="1"/>
  <c r="X2" i="1"/>
  <c r="W25" i="1"/>
  <c r="W19" i="1"/>
  <c r="W14" i="1"/>
  <c r="W8" i="1"/>
  <c r="W2" i="1"/>
  <c r="L31" i="1"/>
  <c r="J31" i="1"/>
  <c r="J32" i="1"/>
  <c r="M31" i="1"/>
  <c r="N31" i="1"/>
  <c r="F33" i="1"/>
  <c r="F32" i="1"/>
  <c r="C36" i="1"/>
  <c r="C35" i="1"/>
  <c r="C34" i="1"/>
  <c r="C33" i="1"/>
  <c r="C32" i="1"/>
  <c r="C31" i="1"/>
  <c r="E31" i="1"/>
  <c r="E36" i="1"/>
  <c r="E35" i="1"/>
  <c r="E34" i="1"/>
  <c r="E33" i="1"/>
  <c r="K31" i="1" s="1"/>
  <c r="E32" i="1"/>
</calcChain>
</file>

<file path=xl/sharedStrings.xml><?xml version="1.0" encoding="utf-8"?>
<sst xmlns="http://schemas.openxmlformats.org/spreadsheetml/2006/main" count="361" uniqueCount="136">
  <si>
    <t>Match action</t>
  </si>
  <si>
    <t>ResumeId</t>
  </si>
  <si>
    <t>Resume Title</t>
  </si>
  <si>
    <t>JobPostId</t>
  </si>
  <si>
    <t>JobPost Title</t>
  </si>
  <si>
    <t>Gemma Overall</t>
  </si>
  <si>
    <t>Nomic Overall</t>
  </si>
  <si>
    <t>Gemma Title</t>
  </si>
  <si>
    <t>Nomic Title</t>
  </si>
  <si>
    <t>Gemma Desc</t>
  </si>
  <si>
    <t>Nomic Desc</t>
  </si>
  <si>
    <t>Gemma Resp</t>
  </si>
  <si>
    <t>Nomic Resp</t>
  </si>
  <si>
    <t>Gemma Edu</t>
  </si>
  <si>
    <t>Nomic Edu</t>
  </si>
  <si>
    <t>Gemma Exp</t>
  </si>
  <si>
    <t>Nomic Exp</t>
  </si>
  <si>
    <t>Gemma Skills</t>
  </si>
  <si>
    <t>Nomic Skills</t>
  </si>
  <si>
    <t>Gemma AddInfo</t>
  </si>
  <si>
    <t>Nomic AddInfo</t>
  </si>
  <si>
    <t>JOB_POST_TO_RESUMES</t>
  </si>
  <si>
    <t>310</t>
  </si>
  <si>
    <t>Automotive Technician Mechanic</t>
  </si>
  <si>
    <t>422</t>
  </si>
  <si>
    <t xml:space="preserve">Automotive Technician Bronx NY </t>
  </si>
  <si>
    <t>0.85</t>
  </si>
  <si>
    <t>0.77</t>
  </si>
  <si>
    <t>0.79</t>
  </si>
  <si>
    <t>0.74</t>
  </si>
  <si>
    <t>0.67</t>
  </si>
  <si>
    <t>0.8</t>
  </si>
  <si>
    <t>0.82</t>
  </si>
  <si>
    <t>0.71</t>
  </si>
  <si>
    <t>0.81</t>
  </si>
  <si>
    <t>0.68</t>
  </si>
  <si>
    <t>748</t>
  </si>
  <si>
    <t>Automotive Technician</t>
  </si>
  <si>
    <t>0.76</t>
  </si>
  <si>
    <t>0.72</t>
  </si>
  <si>
    <t>0.75</t>
  </si>
  <si>
    <t>0.66</t>
  </si>
  <si>
    <t>715</t>
  </si>
  <si>
    <t>0.73</t>
  </si>
  <si>
    <t>638</t>
  </si>
  <si>
    <t>0.78</t>
  </si>
  <si>
    <t>0.7</t>
  </si>
  <si>
    <t>0.69</t>
  </si>
  <si>
    <t>732</t>
  </si>
  <si>
    <t>0.62</t>
  </si>
  <si>
    <t>114</t>
  </si>
  <si>
    <t>Electrical Engineering Technician</t>
  </si>
  <si>
    <t>818</t>
  </si>
  <si>
    <t>0.64</t>
  </si>
  <si>
    <t>0.63</t>
  </si>
  <si>
    <t>0.52</t>
  </si>
  <si>
    <t>391</t>
  </si>
  <si>
    <t>Electrical Engineer</t>
  </si>
  <si>
    <t>0.86</t>
  </si>
  <si>
    <t>0.61</t>
  </si>
  <si>
    <t>0.45</t>
  </si>
  <si>
    <t>630</t>
  </si>
  <si>
    <t>255</t>
  </si>
  <si>
    <t>0.57</t>
  </si>
  <si>
    <t>0.46</t>
  </si>
  <si>
    <t>654</t>
  </si>
  <si>
    <t>Software Engineering Intern Marketing Manager</t>
  </si>
  <si>
    <t>0.49</t>
  </si>
  <si>
    <t>177</t>
  </si>
  <si>
    <t>Dental Assistant</t>
  </si>
  <si>
    <t>720</t>
  </si>
  <si>
    <t xml:space="preserve">Bilingual Dental Assistant Spanish preferred </t>
  </si>
  <si>
    <t>703</t>
  </si>
  <si>
    <t>0.54</t>
  </si>
  <si>
    <t>0.48</t>
  </si>
  <si>
    <t>860</t>
  </si>
  <si>
    <t>0.59</t>
  </si>
  <si>
    <t>0.56</t>
  </si>
  <si>
    <t>154</t>
  </si>
  <si>
    <t>Health Student and Dental Assistant</t>
  </si>
  <si>
    <t>495</t>
  </si>
  <si>
    <t>Professional Banker</t>
  </si>
  <si>
    <t>250</t>
  </si>
  <si>
    <t xml:space="preserve">Banking Professional Teller and Digital Banking Support </t>
  </si>
  <si>
    <t>0.58</t>
  </si>
  <si>
    <t>826</t>
  </si>
  <si>
    <t>Teller Personal Banker</t>
  </si>
  <si>
    <t>0.5</t>
  </si>
  <si>
    <t>569</t>
  </si>
  <si>
    <t>Relationship Banker Branch Designee</t>
  </si>
  <si>
    <t>0.6</t>
  </si>
  <si>
    <t>0.53</t>
  </si>
  <si>
    <t>63</t>
  </si>
  <si>
    <t>Associate Banker</t>
  </si>
  <si>
    <t>668</t>
  </si>
  <si>
    <t>Associate Universal Banker</t>
  </si>
  <si>
    <t>0.38</t>
  </si>
  <si>
    <t>382</t>
  </si>
  <si>
    <t>Web Developer</t>
  </si>
  <si>
    <t>500</t>
  </si>
  <si>
    <t>Full Stack Web Developer</t>
  </si>
  <si>
    <t>783</t>
  </si>
  <si>
    <t>Senior Software Developer</t>
  </si>
  <si>
    <t>0.43</t>
  </si>
  <si>
    <t>229</t>
  </si>
  <si>
    <t>WordPress Web Developer</t>
  </si>
  <si>
    <t>56</t>
  </si>
  <si>
    <t>0.34</t>
  </si>
  <si>
    <t xml:space="preserve">Nomic </t>
  </si>
  <si>
    <t xml:space="preserve">Gemma </t>
  </si>
  <si>
    <t>Resume ranking</t>
  </si>
  <si>
    <t>Gemma</t>
  </si>
  <si>
    <t>Nomic</t>
  </si>
  <si>
    <t>res-id 310</t>
  </si>
  <si>
    <t>res-id 748</t>
  </si>
  <si>
    <t>res-id 715</t>
  </si>
  <si>
    <t>res-id 638</t>
  </si>
  <si>
    <t>res-id 732</t>
  </si>
  <si>
    <t>res-id 114</t>
  </si>
  <si>
    <t>res-id 391</t>
  </si>
  <si>
    <t>res-id 630</t>
  </si>
  <si>
    <t>res-id 255</t>
  </si>
  <si>
    <t>res-id 654</t>
  </si>
  <si>
    <t>res-id 177</t>
  </si>
  <si>
    <t>res-id 703</t>
  </si>
  <si>
    <t>res-id 860</t>
  </si>
  <si>
    <t>res-id 154</t>
  </si>
  <si>
    <t>res-id 495</t>
  </si>
  <si>
    <t>res-id 826</t>
  </si>
  <si>
    <t>res-id 569</t>
  </si>
  <si>
    <t>res-id 63</t>
  </si>
  <si>
    <t>res-id 668</t>
  </si>
  <si>
    <t>res-id 382</t>
  </si>
  <si>
    <t>res-id 783</t>
  </si>
  <si>
    <t>res-id 229</t>
  </si>
  <si>
    <t>res-id 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</si>
</sst>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6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7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8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9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0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1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 to resumes overall match evaluation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'jobPost-to-resumes.xlsx'!$F$31</c:f>
              <c:strCache>
                <c:ptCount val="1"/>
                <c:pt idx="0">
                  <c:v>Gemma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'jobPost-to-resumes.xlsx'!$E$32:$E$36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'jobPost-to-resumes.xlsx'!$F$32:$F$36</c:f>
              <c:numCache>
                <c:formatCode>0.00</c:formatCode>
                <c:ptCount val="5"/>
                <c:pt idx="0" formatCode="#,##0.00">
                  <c:v>0.85</c:v>
                </c:pt>
                <c:pt idx="1">
                  <c:v>0.81</c:v>
                </c:pt>
                <c:pt idx="2">
                  <c:v>0.8</c:v>
                </c:pt>
                <c:pt idx="3">
                  <c:v>0.8</c:v>
                </c:pt>
                <c:pt idx="4">
                  <c:v>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2A-49DC-AE9D-83AF376C1AA7}"/>
            </c:ext>
          </c:extLst>
        </c:ser>
        <c:ser>
          <c:idx val="1"/>
          <c:order val="1"/>
          <c:tx>
            <c:strRef>
              <c:f>'jobPost-to-resumes.xlsx'!$G$31</c:f>
              <c:strCache>
                <c:ptCount val="1"/>
                <c:pt idx="0">
                  <c:v>Nomic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'jobPost-to-resumes.xlsx'!$G$32:$G$36</c:f>
              <c:numCache>
                <c:formatCode>General</c:formatCode>
                <c:ptCount val="5"/>
                <c:pt idx="0">
                  <c:v>0.77</c:v>
                </c:pt>
                <c:pt idx="1">
                  <c:v>0.77</c:v>
                </c:pt>
                <c:pt idx="2">
                  <c:v>0.78</c:v>
                </c:pt>
                <c:pt idx="3">
                  <c:v>0.74</c:v>
                </c:pt>
                <c:pt idx="4">
                  <c:v>0.72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C2A-49DC-AE9D-83AF376C1A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ranking resume</a:t>
                </a:r>
                <a:r>
                  <a:rPr lang="en-US" baseline="0"/>
                  <a:t> per jobpost</a:t>
                </a:r>
              </a:p>
            </c:rich>
          </c:tx>
          <c:layout>
            <c:manualLayout>
              <c:xMode val="edge"/>
              <c:yMode val="edge"/>
              <c:x val="0.36377898538851278"/>
              <c:y val="0.922538668967748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Overall resumes</a:t>
            </a:r>
            <a:r>
              <a:rPr lang="en-US" sz="1200" baseline="0"/>
              <a:t> ranking per jobpost</a:t>
            </a:r>
            <a:endParaRPr lang="en-US" sz="1200"/>
          </a:p>
        </c:rich>
      </c:tx>
      <c:layout>
        <c:manualLayout>
          <c:xMode val="edge"/>
          <c:yMode val="edge"/>
          <c:x val="1.1586545985726478E-2"/>
          <c:y val="0.874999859892958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'jobPost-to-resumes.xlsx'!$I$32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2.18579159733519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4A8A-45C1-85CA-2F3C5FF85F44}"/>
                </c:ext>
              </c:extLst>
            </c:dLbl>
            <c:dLbl>
              <c:idx val="1"/>
              <c:layout>
                <c:manualLayout>
                  <c:x val="-3.7751592460642029E-17"/>
                  <c:y val="-1.85185185185185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5CE2-472A-9617-0D5A0058D08E}"/>
                </c:ext>
              </c:extLst>
            </c:dLbl>
            <c:dLbl>
              <c:idx val="2"/>
              <c:layout>
                <c:manualLayout>
                  <c:x val="0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4A8A-45C1-85CA-2F3C5FF85F44}"/>
                </c:ext>
              </c:extLst>
            </c:dLbl>
            <c:dLbl>
              <c:idx val="3"/>
              <c:layout>
                <c:manualLayout>
                  <c:x val="0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A8A-45C1-85CA-2F3C5FF85F44}"/>
                </c:ext>
              </c:extLst>
            </c:dLbl>
            <c:dLbl>
              <c:idx val="5"/>
              <c:layout>
                <c:manualLayout>
                  <c:x val="0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5CE2-472A-9617-0D5A0058D0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0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'jobPost-to-resumes.xlsx'!$J$31:$N$31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'jobPost-to-resumes.xlsx'!$J$32:$N$32</c:f>
              <c:numCache>
                <c:formatCode>General</c:formatCode>
                <c:ptCount val="5"/>
                <c:pt idx="0">
                  <c:v>0.85</c:v>
                </c:pt>
                <c:pt idx="1">
                  <c:v>0.81</c:v>
                </c:pt>
                <c:pt idx="2">
                  <c:v>0.8</c:v>
                </c:pt>
                <c:pt idx="3">
                  <c:v>0.8</c:v>
                </c:pt>
                <c:pt idx="4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2-472A-9617-0D5A0058D08E}"/>
            </c:ext>
          </c:extLst>
        </c:ser>
        <c:ser>
          <c:idx val="1"/>
          <c:order val="1"/>
          <c:tx>
            <c:strRef>
              <c:f>'jobPost-to-resumes.xlsx'!$I$33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1.3114749584011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5CE2-472A-9617-0D5A0058D08E}"/>
                </c:ext>
              </c:extLst>
            </c:dLbl>
            <c:dLbl>
              <c:idx val="4"/>
              <c:layout>
                <c:manualLayout>
                  <c:x val="-3.956478733926805E-3"/>
                  <c:y val="4.37158319467038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5CE2-472A-9617-0D5A0058D0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08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'jobPost-to-resumes.xlsx'!$J$31:$N$31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'jobPost-to-resumes.xlsx'!$J$33:$N$33</c:f>
              <c:numCache>
                <c:formatCode>General</c:formatCode>
                <c:ptCount val="5"/>
                <c:pt idx="0">
                  <c:v>0.82</c:v>
                </c:pt>
                <c:pt idx="1">
                  <c:v>0.81</c:v>
                </c:pt>
                <c:pt idx="2">
                  <c:v>0.77</c:v>
                </c:pt>
                <c:pt idx="3">
                  <c:v>0.79</c:v>
                </c:pt>
                <c:pt idx="4">
                  <c:v>0.77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2-472A-9617-0D5A0058D08E}"/>
            </c:ext>
          </c:extLst>
        </c:ser>
        <c:ser>
          <c:idx val="2"/>
          <c:order val="2"/>
          <c:tx>
            <c:strRef>
              <c:f>'jobPost-to-resumes.xlsx'!$I$34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36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'jobPost-to-resumes.xlsx'!$J$31:$N$31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'jobPost-to-resumes.xlsx'!$J$34:$N$34</c:f>
              <c:numCache>
                <c:formatCode>General</c:formatCode>
                <c:ptCount val="5"/>
                <c:pt idx="0">
                  <c:v>0.8</c:v>
                </c:pt>
                <c:pt idx="1">
                  <c:v>0.79</c:v>
                </c:pt>
                <c:pt idx="2">
                  <c:v>0.76</c:v>
                </c:pt>
                <c:pt idx="3">
                  <c:v>0.7</c:v>
                </c:pt>
                <c:pt idx="4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E2-472A-9617-0D5A0058D08E}"/>
            </c:ext>
          </c:extLst>
        </c:ser>
        <c:ser>
          <c:idx val="3"/>
          <c:order val="3"/>
          <c:tx>
            <c:strRef>
              <c:f>'jobPost-to-resumes.xlsx'!$I$35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23680623351118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CE2-472A-9617-0D5A0058D08E}"/>
                </c:ext>
              </c:extLst>
            </c:dLbl>
            <c:dLbl>
              <c:idx val="2"/>
              <c:layout>
                <c:manualLayout>
                  <c:x val="1.647361246702229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5CE2-472A-9617-0D5A0058D08E}"/>
                </c:ext>
              </c:extLst>
            </c:dLbl>
            <c:dLbl>
              <c:idx val="3"/>
              <c:layout>
                <c:manualLayout>
                  <c:x val="1.235520935026678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CE2-472A-9617-0D5A0058D08E}"/>
                </c:ext>
              </c:extLst>
            </c:dLbl>
            <c:dLbl>
              <c:idx val="4"/>
              <c:layout>
                <c:manualLayout>
                  <c:x val="1.6473612467022374E-2"/>
                  <c:y val="-4.62962962962967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5CE2-472A-9617-0D5A0058D08E}"/>
                </c:ext>
              </c:extLst>
            </c:dLbl>
            <c:dLbl>
              <c:idx val="5"/>
              <c:layout>
                <c:manualLayout>
                  <c:x val="1.2355209350266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CE2-472A-9617-0D5A0058D0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'jobPost-to-resumes.xlsx'!$J$31:$N$31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'jobPost-to-resumes.xlsx'!$J$35:$N$35</c:f>
              <c:numCache>
                <c:formatCode>General</c:formatCode>
                <c:ptCount val="5"/>
                <c:pt idx="0">
                  <c:v>0.8</c:v>
                </c:pt>
                <c:pt idx="1">
                  <c:v>0.79</c:v>
                </c:pt>
                <c:pt idx="2">
                  <c:v>0.73</c:v>
                </c:pt>
                <c:pt idx="3">
                  <c:v>0.68</c:v>
                </c:pt>
                <c:pt idx="4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E2-472A-9617-0D5A0058D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-33"/>
        <c:axId val="612713183"/>
        <c:axId val="612697823"/>
      </c:barChart>
      <c:catAx>
        <c:axId val="61271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7823"/>
        <c:crosses val="autoZero"/>
        <c:auto val="1"/>
        <c:lblAlgn val="ctr"/>
        <c:lblOffset val="100"/>
        <c:noMultiLvlLbl val="0"/>
      </c:catAx>
      <c:valAx>
        <c:axId val="612697823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13183"/>
        <c:crosses val="autoZero"/>
        <c:crossBetween val="between"/>
        <c:majorUnit val="0.1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Resumes</a:t>
            </a:r>
            <a:r>
              <a:rPr lang="en-US" sz="1200" baseline="0"/>
              <a:t> ranking per title</a:t>
            </a:r>
            <a:endParaRPr lang="en-US" sz="1200"/>
          </a:p>
        </c:rich>
      </c:tx>
      <c:layout>
        <c:manualLayout>
          <c:xMode val="edge"/>
          <c:yMode val="edge"/>
          <c:x val="2.4847402243895346E-2"/>
          <c:y val="0.886390608940872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'jobPost-to-resumes.xlsx'!$I$54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'jobPost-to-resumes.xlsx'!$J$53:$N$53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'jobPost-to-resumes.xlsx'!$J$54:$N$54</c:f>
              <c:numCache>
                <c:formatCode>0.00</c:formatCode>
                <c:ptCount val="5"/>
                <c:pt idx="0" formatCode="0.0">
                  <c:v>0.9</c:v>
                </c:pt>
                <c:pt idx="1">
                  <c:v>1</c:v>
                </c:pt>
                <c:pt idx="2">
                  <c:v>0.83</c:v>
                </c:pt>
                <c:pt idx="3">
                  <c:v>0.82</c:v>
                </c:pt>
                <c:pt idx="4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5-4A4E-BB43-E280F954D417}"/>
            </c:ext>
          </c:extLst>
        </c:ser>
        <c:ser>
          <c:idx val="1"/>
          <c:order val="1"/>
          <c:tx>
            <c:strRef>
              <c:f>'jobPost-to-resumes.xlsx'!$I$55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'jobPost-to-resumes.xlsx'!$J$53:$N$53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'jobPost-to-resumes.xlsx'!$J$55:$N$55</c:f>
              <c:numCache>
                <c:formatCode>0.00</c:formatCode>
                <c:ptCount val="5"/>
                <c:pt idx="0" formatCode="0.0">
                  <c:v>0.9</c:v>
                </c:pt>
                <c:pt idx="1">
                  <c:v>0.95</c:v>
                </c:pt>
                <c:pt idx="2">
                  <c:v>0.83</c:v>
                </c:pt>
                <c:pt idx="3">
                  <c:v>0.79</c:v>
                </c:pt>
                <c:pt idx="4">
                  <c:v>0.83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B5-4A4E-BB43-E280F954D417}"/>
            </c:ext>
          </c:extLst>
        </c:ser>
        <c:ser>
          <c:idx val="2"/>
          <c:order val="2"/>
          <c:tx>
            <c:strRef>
              <c:f>'jobPost-to-resumes.xlsx'!$I$56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'jobPost-to-resumes.xlsx'!$J$53:$N$53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'jobPost-to-resumes.xlsx'!$J$56:$N$56</c:f>
              <c:numCache>
                <c:formatCode>0.00</c:formatCode>
                <c:ptCount val="5"/>
                <c:pt idx="0" formatCode="0.0">
                  <c:v>0.9</c:v>
                </c:pt>
                <c:pt idx="1">
                  <c:v>1</c:v>
                </c:pt>
                <c:pt idx="2">
                  <c:v>0.83</c:v>
                </c:pt>
                <c:pt idx="3">
                  <c:v>0.73</c:v>
                </c:pt>
                <c:pt idx="4">
                  <c:v>0.92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B5-4A4E-BB43-E280F954D417}"/>
            </c:ext>
          </c:extLst>
        </c:ser>
        <c:ser>
          <c:idx val="3"/>
          <c:order val="3"/>
          <c:tx>
            <c:strRef>
              <c:f>'jobPost-to-resumes.xlsx'!$I$57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'jobPost-to-resumes.xlsx'!$J$53:$N$53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'jobPost-to-resumes.xlsx'!$J$57:$N$57</c:f>
              <c:numCache>
                <c:formatCode>0.00</c:formatCode>
                <c:ptCount val="5"/>
                <c:pt idx="0" formatCode="0.0">
                  <c:v>0.9</c:v>
                </c:pt>
                <c:pt idx="1">
                  <c:v>1</c:v>
                </c:pt>
                <c:pt idx="2">
                  <c:v>0.76</c:v>
                </c:pt>
                <c:pt idx="3">
                  <c:v>0.76</c:v>
                </c:pt>
                <c:pt idx="4">
                  <c:v>0.89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B5-4A4E-BB43-E280F954D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1796320"/>
        <c:axId val="1771822720"/>
      </c:barChart>
      <c:catAx>
        <c:axId val="1771796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822720"/>
        <c:crosses val="autoZero"/>
        <c:auto val="1"/>
        <c:lblAlgn val="ctr"/>
        <c:lblOffset val="100"/>
        <c:noMultiLvlLbl val="0"/>
      </c:catAx>
      <c:valAx>
        <c:axId val="1771822720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796320"/>
        <c:crosses val="autoZero"/>
        <c:crossBetween val="between"/>
        <c:majorUnit val="0.1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 to resumes</a:t>
            </a:r>
            <a:r>
              <a:rPr lang="en-US" baseline="0"/>
              <a:t> most valuable attributes </a:t>
            </a:r>
            <a:r>
              <a:rPr lang="en-US"/>
              <a:t>evaluation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'jobPost-to-resumes.xlsx'!$D$57</c:f>
              <c:strCache>
                <c:ptCount val="1"/>
                <c:pt idx="0">
                  <c:v>Gemma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'jobPost-to-resumes.xlsx'!$C$58:$C$62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'jobPost-to-resumes.xlsx'!$D$58:$D$62</c:f>
              <c:numCache>
                <c:formatCode>0.00</c:formatCode>
                <c:ptCount val="5"/>
                <c:pt idx="0">
                  <c:v>0.87249999999999994</c:v>
                </c:pt>
                <c:pt idx="1">
                  <c:v>0.8600000000000001</c:v>
                </c:pt>
                <c:pt idx="2">
                  <c:v>0.85</c:v>
                </c:pt>
                <c:pt idx="3">
                  <c:v>0.81500000000000006</c:v>
                </c:pt>
                <c:pt idx="4">
                  <c:v>0.78750000000000009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4F-4E81-9E1D-6FFEE740AC0D}"/>
            </c:ext>
          </c:extLst>
        </c:ser>
        <c:ser>
          <c:idx val="1"/>
          <c:order val="1"/>
          <c:tx>
            <c:strRef>
              <c:f>'jobPost-to-resumes.xlsx'!$E$57</c:f>
              <c:strCache>
                <c:ptCount val="1"/>
                <c:pt idx="0">
                  <c:v>Nomic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'jobPost-to-resumes.xlsx'!$C$58:$C$62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'jobPost-to-resumes.xlsx'!$E$58:$E$62</c:f>
              <c:numCache>
                <c:formatCode>0.00</c:formatCode>
                <c:ptCount val="5"/>
                <c:pt idx="0">
                  <c:v>0.78999999999999992</c:v>
                </c:pt>
                <c:pt idx="1">
                  <c:v>0.7975000000000001</c:v>
                </c:pt>
                <c:pt idx="2" formatCode="#,##0.00">
                  <c:v>0.82000000000000006</c:v>
                </c:pt>
                <c:pt idx="3">
                  <c:v>0.74750000000000005</c:v>
                </c:pt>
                <c:pt idx="4">
                  <c:v>0.70750000000000002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4F-4E81-9E1D-6FFEE740AC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ranking resume</a:t>
                </a:r>
                <a:r>
                  <a:rPr lang="en-US" baseline="0"/>
                  <a:t> per jobpost</a:t>
                </a:r>
              </a:p>
            </c:rich>
          </c:tx>
          <c:layout>
            <c:manualLayout>
              <c:xMode val="edge"/>
              <c:yMode val="edge"/>
              <c:x val="0.36856272098880943"/>
              <c:y val="0.92984460504080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9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Resumes</a:t>
            </a:r>
            <a:r>
              <a:rPr lang="en-US" sz="1200" baseline="0"/>
              <a:t> ranking per description</a:t>
            </a:r>
            <a:endParaRPr lang="en-US" sz="1200"/>
          </a:p>
        </c:rich>
      </c:tx>
      <c:layout>
        <c:manualLayout>
          <c:xMode val="edge"/>
          <c:yMode val="edge"/>
          <c:x val="1.1586545985726478E-2"/>
          <c:y val="0.874999859892958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'jobPost-to-resumes.xlsx'!$T$32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2.18579159733519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06C-458A-8A03-9E47D473B5D5}"/>
                </c:ext>
              </c:extLst>
            </c:dLbl>
            <c:dLbl>
              <c:idx val="1"/>
              <c:layout>
                <c:manualLayout>
                  <c:x val="-1.8990347520368668E-3"/>
                  <c:y val="2.519718593961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06C-458A-8A03-9E47D473B5D5}"/>
                </c:ext>
              </c:extLst>
            </c:dLbl>
            <c:dLbl>
              <c:idx val="2"/>
              <c:layout>
                <c:manualLayout>
                  <c:x val="0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06C-458A-8A03-9E47D473B5D5}"/>
                </c:ext>
              </c:extLst>
            </c:dLbl>
            <c:dLbl>
              <c:idx val="3"/>
              <c:layout>
                <c:manualLayout>
                  <c:x val="0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06C-458A-8A03-9E47D473B5D5}"/>
                </c:ext>
              </c:extLst>
            </c:dLbl>
            <c:dLbl>
              <c:idx val="4"/>
              <c:layout>
                <c:manualLayout>
                  <c:x val="-1.8990347520369017E-3"/>
                  <c:y val="5.24589983360446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06C-458A-8A03-9E47D473B5D5}"/>
                </c:ext>
              </c:extLst>
            </c:dLbl>
            <c:dLbl>
              <c:idx val="5"/>
              <c:layout>
                <c:manualLayout>
                  <c:x val="0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06C-458A-8A03-9E47D473B5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0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'jobPost-to-resumes.xlsx'!$U$31:$Y$31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'jobPost-to-resumes.xlsx'!$U$32:$Y$32</c:f>
              <c:numCache>
                <c:formatCode>0.00</c:formatCode>
                <c:ptCount val="5"/>
                <c:pt idx="0">
                  <c:v>0.74</c:v>
                </c:pt>
                <c:pt idx="1">
                  <c:v>0.76</c:v>
                </c:pt>
                <c:pt idx="2">
                  <c:v>0.8</c:v>
                </c:pt>
                <c:pt idx="3">
                  <c:v>0.81</c:v>
                </c:pt>
                <c:pt idx="4">
                  <c:v>0.86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6C-458A-8A03-9E47D473B5D5}"/>
            </c:ext>
          </c:extLst>
        </c:ser>
        <c:ser>
          <c:idx val="1"/>
          <c:order val="1"/>
          <c:tx>
            <c:strRef>
              <c:f>'jobPost-to-resumes.xlsx'!$T$33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3"/>
              <c:layout>
                <c:manualLayout>
                  <c:x val="0"/>
                  <c:y val="1.3114749584011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06C-458A-8A03-9E47D473B5D5}"/>
                </c:ext>
              </c:extLst>
            </c:dLbl>
            <c:dLbl>
              <c:idx val="4"/>
              <c:layout>
                <c:manualLayout>
                  <c:x val="-3.956478733926805E-3"/>
                  <c:y val="4.37158319467038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06C-458A-8A03-9E47D473B5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08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'jobPost-to-resumes.xlsx'!$U$31:$Y$31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'jobPost-to-resumes.xlsx'!$U$33:$Y$33</c:f>
              <c:numCache>
                <c:formatCode>0.00</c:formatCode>
                <c:ptCount val="5"/>
                <c:pt idx="0">
                  <c:v>0.76</c:v>
                </c:pt>
                <c:pt idx="1">
                  <c:v>0.79</c:v>
                </c:pt>
                <c:pt idx="2">
                  <c:v>0.76</c:v>
                </c:pt>
                <c:pt idx="3">
                  <c:v>0.8</c:v>
                </c:pt>
                <c:pt idx="4">
                  <c:v>0.73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6C-458A-8A03-9E47D473B5D5}"/>
            </c:ext>
          </c:extLst>
        </c:ser>
        <c:ser>
          <c:idx val="2"/>
          <c:order val="2"/>
          <c:tx>
            <c:strRef>
              <c:f>'jobPost-to-resumes.xlsx'!$T$34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36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'jobPost-to-resumes.xlsx'!$U$31:$Y$31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'jobPost-to-resumes.xlsx'!$U$34:$Y$34</c:f>
              <c:numCache>
                <c:formatCode>0.00</c:formatCode>
                <c:ptCount val="5"/>
                <c:pt idx="0">
                  <c:v>0.8</c:v>
                </c:pt>
                <c:pt idx="1">
                  <c:v>0.73</c:v>
                </c:pt>
                <c:pt idx="2">
                  <c:v>0.64</c:v>
                </c:pt>
                <c:pt idx="3">
                  <c:v>0.73</c:v>
                </c:pt>
                <c:pt idx="4">
                  <c:v>0.76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6C-458A-8A03-9E47D473B5D5}"/>
            </c:ext>
          </c:extLst>
        </c:ser>
        <c:ser>
          <c:idx val="3"/>
          <c:order val="3"/>
          <c:tx>
            <c:strRef>
              <c:f>'jobPost-to-resumes.xlsx'!$T$35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23680623351118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06C-458A-8A03-9E47D473B5D5}"/>
                </c:ext>
              </c:extLst>
            </c:dLbl>
            <c:dLbl>
              <c:idx val="2"/>
              <c:layout>
                <c:manualLayout>
                  <c:x val="1.647361246702229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06C-458A-8A03-9E47D473B5D5}"/>
                </c:ext>
              </c:extLst>
            </c:dLbl>
            <c:dLbl>
              <c:idx val="3"/>
              <c:layout>
                <c:manualLayout>
                  <c:x val="1.235520935026678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06C-458A-8A03-9E47D473B5D5}"/>
                </c:ext>
              </c:extLst>
            </c:dLbl>
            <c:dLbl>
              <c:idx val="4"/>
              <c:layout>
                <c:manualLayout>
                  <c:x val="1.6473612467022374E-2"/>
                  <c:y val="-4.62962962962967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06C-458A-8A03-9E47D473B5D5}"/>
                </c:ext>
              </c:extLst>
            </c:dLbl>
            <c:dLbl>
              <c:idx val="5"/>
              <c:layout>
                <c:manualLayout>
                  <c:x val="1.2355209350266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06C-458A-8A03-9E47D473B5D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'jobPost-to-resumes.xlsx'!$U$31:$Y$31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'jobPost-to-resumes.xlsx'!$U$35:$Y$35</c:f>
              <c:numCache>
                <c:formatCode>0.00</c:formatCode>
                <c:ptCount val="5"/>
                <c:pt idx="0">
                  <c:v>0.78</c:v>
                </c:pt>
                <c:pt idx="1">
                  <c:v>0.7</c:v>
                </c:pt>
                <c:pt idx="2">
                  <c:v>0.68</c:v>
                </c:pt>
                <c:pt idx="3">
                  <c:v>0.7</c:v>
                </c:pt>
                <c:pt idx="4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06C-458A-8A03-9E47D473B5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-33"/>
        <c:axId val="612713183"/>
        <c:axId val="612697823"/>
      </c:barChart>
      <c:catAx>
        <c:axId val="61271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7823"/>
        <c:crosses val="autoZero"/>
        <c:auto val="1"/>
        <c:lblAlgn val="ctr"/>
        <c:lblOffset val="100"/>
        <c:noMultiLvlLbl val="0"/>
      </c:catAx>
      <c:valAx>
        <c:axId val="612697823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1318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Resumes</a:t>
            </a:r>
            <a:r>
              <a:rPr lang="en-US" sz="1200" baseline="0"/>
              <a:t> ranking per responsibilities</a:t>
            </a:r>
            <a:endParaRPr lang="en-US" sz="1200"/>
          </a:p>
        </c:rich>
      </c:tx>
      <c:layout>
        <c:manualLayout>
          <c:xMode val="edge"/>
          <c:yMode val="edge"/>
          <c:x val="1.1586545985726478E-2"/>
          <c:y val="0.874999859892958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'jobPost-to-resumes.xlsx'!$T$54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4.37158319467038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40-4874-8201-39F27E25E4B7}"/>
                </c:ext>
              </c:extLst>
            </c:dLbl>
            <c:dLbl>
              <c:idx val="1"/>
              <c:layout>
                <c:manualLayout>
                  <c:x val="-1.8990347520368668E-3"/>
                  <c:y val="2.519718593961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D40-4874-8201-39F27E25E4B7}"/>
                </c:ext>
              </c:extLst>
            </c:dLbl>
            <c:dLbl>
              <c:idx val="2"/>
              <c:layout>
                <c:manualLayout>
                  <c:x val="0"/>
                  <c:y val="5.24589983360446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40-4874-8201-39F27E25E4B7}"/>
                </c:ext>
              </c:extLst>
            </c:dLbl>
            <c:dLbl>
              <c:idx val="3"/>
              <c:layout>
                <c:manualLayout>
                  <c:x val="0"/>
                  <c:y val="6.12021647253854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D40-4874-8201-39F27E25E4B7}"/>
                </c:ext>
              </c:extLst>
            </c:dLbl>
            <c:dLbl>
              <c:idx val="4"/>
              <c:layout>
                <c:manualLayout>
                  <c:x val="-1.8990347520369017E-3"/>
                  <c:y val="5.24589983360446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40-4874-8201-39F27E25E4B7}"/>
                </c:ext>
              </c:extLst>
            </c:dLbl>
            <c:dLbl>
              <c:idx val="5"/>
              <c:layout>
                <c:manualLayout>
                  <c:x val="0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D40-4874-8201-39F27E25E4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0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'jobPost-to-resumes.xlsx'!$U$53:$Y$53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'jobPost-to-resumes.xlsx'!$U$54:$Y$54</c:f>
              <c:numCache>
                <c:formatCode>0.00</c:formatCode>
                <c:ptCount val="5"/>
                <c:pt idx="0">
                  <c:v>0.9</c:v>
                </c:pt>
                <c:pt idx="1">
                  <c:v>0.79</c:v>
                </c:pt>
                <c:pt idx="2">
                  <c:v>0.84</c:v>
                </c:pt>
                <c:pt idx="3">
                  <c:v>0.9</c:v>
                </c:pt>
                <c:pt idx="4">
                  <c:v>0.78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D40-4874-8201-39F27E25E4B7}"/>
            </c:ext>
          </c:extLst>
        </c:ser>
        <c:ser>
          <c:idx val="1"/>
          <c:order val="1"/>
          <c:tx>
            <c:strRef>
              <c:f>'jobPost-to-resumes.xlsx'!$T$55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1.7407617466055848E-17"/>
                  <c:y val="2.18579159733519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D40-4874-8201-39F27E25E4B7}"/>
                </c:ext>
              </c:extLst>
            </c:dLbl>
            <c:dLbl>
              <c:idx val="2"/>
              <c:layout>
                <c:manualLayout>
                  <c:x val="0"/>
                  <c:y val="1.7486332778681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D40-4874-8201-39F27E25E4B7}"/>
                </c:ext>
              </c:extLst>
            </c:dLbl>
            <c:dLbl>
              <c:idx val="3"/>
              <c:layout>
                <c:manualLayout>
                  <c:x val="0"/>
                  <c:y val="1.3114749584011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D40-4874-8201-39F27E25E4B7}"/>
                </c:ext>
              </c:extLst>
            </c:dLbl>
            <c:dLbl>
              <c:idx val="4"/>
              <c:layout>
                <c:manualLayout>
                  <c:x val="-1.5835258286683838E-4"/>
                  <c:y val="3.9344248752033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40-4874-8201-39F27E25E4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08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'jobPost-to-resumes.xlsx'!$U$53:$Y$53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'jobPost-to-resumes.xlsx'!$U$55:$Y$55</c:f>
              <c:numCache>
                <c:formatCode>0.00</c:formatCode>
                <c:ptCount val="5"/>
                <c:pt idx="0">
                  <c:v>0.87</c:v>
                </c:pt>
                <c:pt idx="1">
                  <c:v>0.78</c:v>
                </c:pt>
                <c:pt idx="2">
                  <c:v>0.88</c:v>
                </c:pt>
                <c:pt idx="3">
                  <c:v>0.82</c:v>
                </c:pt>
                <c:pt idx="4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D40-4874-8201-39F27E25E4B7}"/>
            </c:ext>
          </c:extLst>
        </c:ser>
        <c:ser>
          <c:idx val="2"/>
          <c:order val="2"/>
          <c:tx>
            <c:strRef>
              <c:f>'jobPost-to-resumes.xlsx'!$T$56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36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'jobPost-to-resumes.xlsx'!$U$53:$Y$53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'jobPost-to-resumes.xlsx'!$U$56:$Y$56</c:f>
              <c:numCache>
                <c:formatCode>0.00</c:formatCode>
                <c:ptCount val="5"/>
                <c:pt idx="0">
                  <c:v>0.83</c:v>
                </c:pt>
                <c:pt idx="1">
                  <c:v>0.75</c:v>
                </c:pt>
                <c:pt idx="2">
                  <c:v>0.8</c:v>
                </c:pt>
                <c:pt idx="3">
                  <c:v>0.82</c:v>
                </c:pt>
                <c:pt idx="4">
                  <c:v>0.79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D40-4874-8201-39F27E25E4B7}"/>
            </c:ext>
          </c:extLst>
        </c:ser>
        <c:ser>
          <c:idx val="3"/>
          <c:order val="3"/>
          <c:tx>
            <c:strRef>
              <c:f>'jobPost-to-resumes.xlsx'!$T$57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23680623351118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D40-4874-8201-39F27E25E4B7}"/>
                </c:ext>
              </c:extLst>
            </c:dLbl>
            <c:dLbl>
              <c:idx val="2"/>
              <c:layout>
                <c:manualLayout>
                  <c:x val="1.647361246702229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D40-4874-8201-39F27E25E4B7}"/>
                </c:ext>
              </c:extLst>
            </c:dLbl>
            <c:dLbl>
              <c:idx val="3"/>
              <c:layout>
                <c:manualLayout>
                  <c:x val="1.235520935026678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D40-4874-8201-39F27E25E4B7}"/>
                </c:ext>
              </c:extLst>
            </c:dLbl>
            <c:dLbl>
              <c:idx val="4"/>
              <c:layout>
                <c:manualLayout>
                  <c:x val="1.6473612467022374E-2"/>
                  <c:y val="-4.62962962962967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D40-4874-8201-39F27E25E4B7}"/>
                </c:ext>
              </c:extLst>
            </c:dLbl>
            <c:dLbl>
              <c:idx val="5"/>
              <c:layout>
                <c:manualLayout>
                  <c:x val="1.2355209350266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D40-4874-8201-39F27E25E4B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'jobPost-to-resumes.xlsx'!$U$53:$Y$53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'jobPost-to-resumes.xlsx'!$U$57:$Y$57</c:f>
              <c:numCache>
                <c:formatCode>0.00</c:formatCode>
                <c:ptCount val="5"/>
                <c:pt idx="0">
                  <c:v>0.9</c:v>
                </c:pt>
                <c:pt idx="1">
                  <c:v>0.79</c:v>
                </c:pt>
                <c:pt idx="2">
                  <c:v>0.82</c:v>
                </c:pt>
                <c:pt idx="3">
                  <c:v>0.75</c:v>
                </c:pt>
                <c:pt idx="4">
                  <c:v>0.71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1D40-4874-8201-39F27E25E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-33"/>
        <c:axId val="612713183"/>
        <c:axId val="612697823"/>
      </c:barChart>
      <c:catAx>
        <c:axId val="61271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7823"/>
        <c:crosses val="autoZero"/>
        <c:auto val="1"/>
        <c:lblAlgn val="ctr"/>
        <c:lblOffset val="100"/>
        <c:noMultiLvlLbl val="0"/>
      </c:catAx>
      <c:valAx>
        <c:axId val="612697823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1318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Resumes</a:t>
            </a:r>
            <a:r>
              <a:rPr lang="en-US" sz="1200" baseline="0"/>
              <a:t> ranking per education</a:t>
            </a:r>
            <a:endParaRPr lang="en-US" sz="1200"/>
          </a:p>
        </c:rich>
      </c:tx>
      <c:layout>
        <c:manualLayout>
          <c:xMode val="edge"/>
          <c:yMode val="edge"/>
          <c:x val="1.1586545985726478E-2"/>
          <c:y val="0.874999859892958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'jobPost-to-resumes.xlsx'!$AF$32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55737479200557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551-417F-8DC5-5B93A0E10AF6}"/>
                </c:ext>
              </c:extLst>
            </c:dLbl>
            <c:dLbl>
              <c:idx val="1"/>
              <c:layout>
                <c:manualLayout>
                  <c:x val="-1.8990347520368668E-3"/>
                  <c:y val="2.519718593961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551-417F-8DC5-5B93A0E10AF6}"/>
                </c:ext>
              </c:extLst>
            </c:dLbl>
            <c:dLbl>
              <c:idx val="2"/>
              <c:layout>
                <c:manualLayout>
                  <c:x val="0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551-417F-8DC5-5B93A0E10AF6}"/>
                </c:ext>
              </c:extLst>
            </c:dLbl>
            <c:dLbl>
              <c:idx val="3"/>
              <c:layout>
                <c:manualLayout>
                  <c:x val="0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551-417F-8DC5-5B93A0E10AF6}"/>
                </c:ext>
              </c:extLst>
            </c:dLbl>
            <c:dLbl>
              <c:idx val="4"/>
              <c:layout>
                <c:manualLayout>
                  <c:x val="-1.8990347520369017E-3"/>
                  <c:y val="5.24589983360446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551-417F-8DC5-5B93A0E10AF6}"/>
                </c:ext>
              </c:extLst>
            </c:dLbl>
            <c:dLbl>
              <c:idx val="5"/>
              <c:layout>
                <c:manualLayout>
                  <c:x val="0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551-417F-8DC5-5B93A0E10A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0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'jobPost-to-resumes.xlsx'!$AG$31:$AK$31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'jobPost-to-resumes.xlsx'!$AG$32:$AK$32</c:f>
              <c:numCache>
                <c:formatCode>0.00</c:formatCode>
                <c:ptCount val="5"/>
                <c:pt idx="0">
                  <c:v>0.88</c:v>
                </c:pt>
                <c:pt idx="1">
                  <c:v>0.68</c:v>
                </c:pt>
                <c:pt idx="2">
                  <c:v>0.61</c:v>
                </c:pt>
                <c:pt idx="3">
                  <c:v>0.71</c:v>
                </c:pt>
                <c:pt idx="4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51-417F-8DC5-5B93A0E10AF6}"/>
            </c:ext>
          </c:extLst>
        </c:ser>
        <c:ser>
          <c:idx val="1"/>
          <c:order val="1"/>
          <c:tx>
            <c:strRef>
              <c:f>'jobPost-to-resumes.xlsx'!$AF$33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4815234932111696E-17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D551-417F-8DC5-5B93A0E10AF6}"/>
                </c:ext>
              </c:extLst>
            </c:dLbl>
            <c:dLbl>
              <c:idx val="3"/>
              <c:layout>
                <c:manualLayout>
                  <c:x val="0"/>
                  <c:y val="3.9344248752033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551-417F-8DC5-5B93A0E10AF6}"/>
                </c:ext>
              </c:extLst>
            </c:dLbl>
            <c:dLbl>
              <c:idx val="4"/>
              <c:layout>
                <c:manualLayout>
                  <c:x val="-3.956478733926805E-3"/>
                  <c:y val="4.37158319467038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551-417F-8DC5-5B93A0E10A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08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'jobPost-to-resumes.xlsx'!$AG$31:$AK$31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'jobPost-to-resumes.xlsx'!$AG$33:$AK$33</c:f>
              <c:numCache>
                <c:formatCode>0.00</c:formatCode>
                <c:ptCount val="5"/>
                <c:pt idx="0">
                  <c:v>0.74</c:v>
                </c:pt>
                <c:pt idx="1">
                  <c:v>0.84</c:v>
                </c:pt>
                <c:pt idx="2">
                  <c:v>0.54</c:v>
                </c:pt>
                <c:pt idx="3">
                  <c:v>0.87</c:v>
                </c:pt>
                <c:pt idx="4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551-417F-8DC5-5B93A0E10AF6}"/>
            </c:ext>
          </c:extLst>
        </c:ser>
        <c:ser>
          <c:idx val="2"/>
          <c:order val="2"/>
          <c:tx>
            <c:strRef>
              <c:f>'jobPost-to-resumes.xlsx'!$AF$34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36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'jobPost-to-resumes.xlsx'!$AG$31:$AK$31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'jobPost-to-resumes.xlsx'!$AG$34:$AK$34</c:f>
              <c:numCache>
                <c:formatCode>0.00</c:formatCode>
                <c:ptCount val="5"/>
                <c:pt idx="0">
                  <c:v>0.72</c:v>
                </c:pt>
                <c:pt idx="1">
                  <c:v>0.77</c:v>
                </c:pt>
                <c:pt idx="2">
                  <c:v>0.63</c:v>
                </c:pt>
                <c:pt idx="3">
                  <c:v>0.62</c:v>
                </c:pt>
                <c:pt idx="4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551-417F-8DC5-5B93A0E10AF6}"/>
            </c:ext>
          </c:extLst>
        </c:ser>
        <c:ser>
          <c:idx val="3"/>
          <c:order val="3"/>
          <c:tx>
            <c:strRef>
              <c:f>'jobPost-to-resumes.xlsx'!$AF$35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23680623351118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551-417F-8DC5-5B93A0E10AF6}"/>
                </c:ext>
              </c:extLst>
            </c:dLbl>
            <c:dLbl>
              <c:idx val="2"/>
              <c:layout>
                <c:manualLayout>
                  <c:x val="1.647361246702229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551-417F-8DC5-5B93A0E10AF6}"/>
                </c:ext>
              </c:extLst>
            </c:dLbl>
            <c:dLbl>
              <c:idx val="3"/>
              <c:layout>
                <c:manualLayout>
                  <c:x val="1.235520935026678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D551-417F-8DC5-5B93A0E10AF6}"/>
                </c:ext>
              </c:extLst>
            </c:dLbl>
            <c:dLbl>
              <c:idx val="4"/>
              <c:layout>
                <c:manualLayout>
                  <c:x val="1.6473612467022374E-2"/>
                  <c:y val="-4.62962962962967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D551-417F-8DC5-5B93A0E10AF6}"/>
                </c:ext>
              </c:extLst>
            </c:dLbl>
            <c:dLbl>
              <c:idx val="5"/>
              <c:layout>
                <c:manualLayout>
                  <c:x val="1.2355209350266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D551-417F-8DC5-5B93A0E10A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'jobPost-to-resumes.xlsx'!$AG$31:$AK$31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'jobPost-to-resumes.xlsx'!$AG$35:$AK$35</c:f>
              <c:numCache>
                <c:formatCode>0.00</c:formatCode>
                <c:ptCount val="5"/>
                <c:pt idx="0">
                  <c:v>0.71</c:v>
                </c:pt>
                <c:pt idx="1">
                  <c:v>0.7</c:v>
                </c:pt>
                <c:pt idx="2">
                  <c:v>0.59</c:v>
                </c:pt>
                <c:pt idx="3">
                  <c:v>0.57999999999999996</c:v>
                </c:pt>
                <c:pt idx="4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551-417F-8DC5-5B93A0E10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-33"/>
        <c:axId val="612713183"/>
        <c:axId val="612697823"/>
      </c:barChart>
      <c:catAx>
        <c:axId val="61271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7823"/>
        <c:crosses val="autoZero"/>
        <c:auto val="1"/>
        <c:lblAlgn val="ctr"/>
        <c:lblOffset val="100"/>
        <c:noMultiLvlLbl val="0"/>
      </c:catAx>
      <c:valAx>
        <c:axId val="612697823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1318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Resumes</a:t>
            </a:r>
            <a:r>
              <a:rPr lang="en-US" sz="1200" baseline="0"/>
              <a:t> ranking per experience</a:t>
            </a:r>
            <a:endParaRPr lang="en-US" sz="1200"/>
          </a:p>
        </c:rich>
      </c:tx>
      <c:layout>
        <c:manualLayout>
          <c:xMode val="edge"/>
          <c:yMode val="edge"/>
          <c:x val="1.1586545985726478E-2"/>
          <c:y val="0.874999859892958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'jobPost-to-resumes.xlsx'!$AB$3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55737479200557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491-49A3-8703-FAEE2D47B6C2}"/>
                </c:ext>
              </c:extLst>
            </c:dLbl>
            <c:dLbl>
              <c:idx val="1"/>
              <c:layout>
                <c:manualLayout>
                  <c:x val="-1.8990347520368668E-3"/>
                  <c:y val="2.519718593961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491-49A3-8703-FAEE2D47B6C2}"/>
                </c:ext>
              </c:extLst>
            </c:dLbl>
            <c:dLbl>
              <c:idx val="2"/>
              <c:layout>
                <c:manualLayout>
                  <c:x val="0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491-49A3-8703-FAEE2D47B6C2}"/>
                </c:ext>
              </c:extLst>
            </c:dLbl>
            <c:dLbl>
              <c:idx val="3"/>
              <c:layout>
                <c:manualLayout>
                  <c:x val="0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491-49A3-8703-FAEE2D47B6C2}"/>
                </c:ext>
              </c:extLst>
            </c:dLbl>
            <c:dLbl>
              <c:idx val="4"/>
              <c:layout>
                <c:manualLayout>
                  <c:x val="-1.8990347520369017E-3"/>
                  <c:y val="5.24589983360446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491-49A3-8703-FAEE2D47B6C2}"/>
                </c:ext>
              </c:extLst>
            </c:dLbl>
            <c:dLbl>
              <c:idx val="5"/>
              <c:layout>
                <c:manualLayout>
                  <c:x val="0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91-49A3-8703-FAEE2D47B6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0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'jobPost-to-resumes.xlsx'!$AC$2:$AG$2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'jobPost-to-resumes.xlsx'!$AC$3:$AG$3</c:f>
              <c:numCache>
                <c:formatCode>0.00</c:formatCode>
                <c:ptCount val="5"/>
                <c:pt idx="0">
                  <c:v>0.88</c:v>
                </c:pt>
                <c:pt idx="1">
                  <c:v>0.68</c:v>
                </c:pt>
                <c:pt idx="2">
                  <c:v>0.61</c:v>
                </c:pt>
                <c:pt idx="3">
                  <c:v>0.71</c:v>
                </c:pt>
                <c:pt idx="4">
                  <c:v>0.68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491-49A3-8703-FAEE2D47B6C2}"/>
            </c:ext>
          </c:extLst>
        </c:ser>
        <c:ser>
          <c:idx val="1"/>
          <c:order val="1"/>
          <c:tx>
            <c:strRef>
              <c:f>'jobPost-to-resumes.xlsx'!$AB$4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4815234932111696E-17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491-49A3-8703-FAEE2D47B6C2}"/>
                </c:ext>
              </c:extLst>
            </c:dLbl>
            <c:dLbl>
              <c:idx val="3"/>
              <c:layout>
                <c:manualLayout>
                  <c:x val="0"/>
                  <c:y val="3.9344248752033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491-49A3-8703-FAEE2D47B6C2}"/>
                </c:ext>
              </c:extLst>
            </c:dLbl>
            <c:dLbl>
              <c:idx val="4"/>
              <c:layout>
                <c:manualLayout>
                  <c:x val="-3.956478733926805E-3"/>
                  <c:y val="4.37158319467038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491-49A3-8703-FAEE2D47B6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08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'jobPost-to-resumes.xlsx'!$AC$2:$AG$2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'jobPost-to-resumes.xlsx'!$AC$4:$AG$4</c:f>
              <c:numCache>
                <c:formatCode>0.00</c:formatCode>
                <c:ptCount val="5"/>
                <c:pt idx="0">
                  <c:v>0.74</c:v>
                </c:pt>
                <c:pt idx="1">
                  <c:v>0.84</c:v>
                </c:pt>
                <c:pt idx="2">
                  <c:v>0.54</c:v>
                </c:pt>
                <c:pt idx="3">
                  <c:v>0.87</c:v>
                </c:pt>
                <c:pt idx="4">
                  <c:v>0.63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491-49A3-8703-FAEE2D47B6C2}"/>
            </c:ext>
          </c:extLst>
        </c:ser>
        <c:ser>
          <c:idx val="2"/>
          <c:order val="2"/>
          <c:tx>
            <c:strRef>
              <c:f>'jobPost-to-resumes.xlsx'!$AB$5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36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'jobPost-to-resumes.xlsx'!$AC$2:$AG$2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'jobPost-to-resumes.xlsx'!$AC$5:$AG$5</c:f>
              <c:numCache>
                <c:formatCode>0.00</c:formatCode>
                <c:ptCount val="5"/>
                <c:pt idx="0">
                  <c:v>0.72</c:v>
                </c:pt>
                <c:pt idx="1">
                  <c:v>0.77</c:v>
                </c:pt>
                <c:pt idx="2">
                  <c:v>0.63</c:v>
                </c:pt>
                <c:pt idx="3">
                  <c:v>0.62</c:v>
                </c:pt>
                <c:pt idx="4">
                  <c:v>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491-49A3-8703-FAEE2D47B6C2}"/>
            </c:ext>
          </c:extLst>
        </c:ser>
        <c:ser>
          <c:idx val="3"/>
          <c:order val="3"/>
          <c:tx>
            <c:strRef>
              <c:f>'jobPost-to-resumes.xlsx'!$AB$6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23680623351118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0491-49A3-8703-FAEE2D47B6C2}"/>
                </c:ext>
              </c:extLst>
            </c:dLbl>
            <c:dLbl>
              <c:idx val="2"/>
              <c:layout>
                <c:manualLayout>
                  <c:x val="1.647361246702229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0491-49A3-8703-FAEE2D47B6C2}"/>
                </c:ext>
              </c:extLst>
            </c:dLbl>
            <c:dLbl>
              <c:idx val="3"/>
              <c:layout>
                <c:manualLayout>
                  <c:x val="1.235520935026678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0491-49A3-8703-FAEE2D47B6C2}"/>
                </c:ext>
              </c:extLst>
            </c:dLbl>
            <c:dLbl>
              <c:idx val="4"/>
              <c:layout>
                <c:manualLayout>
                  <c:x val="1.6473612467022374E-2"/>
                  <c:y val="-4.62962962962967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0491-49A3-8703-FAEE2D47B6C2}"/>
                </c:ext>
              </c:extLst>
            </c:dLbl>
            <c:dLbl>
              <c:idx val="5"/>
              <c:layout>
                <c:manualLayout>
                  <c:x val="1.2355209350266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0491-49A3-8703-FAEE2D47B6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'jobPost-to-resumes.xlsx'!$AC$2:$AG$2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'jobPost-to-resumes.xlsx'!$AC$6:$AG$6</c:f>
              <c:numCache>
                <c:formatCode>0.00</c:formatCode>
                <c:ptCount val="5"/>
                <c:pt idx="0">
                  <c:v>0.71</c:v>
                </c:pt>
                <c:pt idx="1">
                  <c:v>0.7</c:v>
                </c:pt>
                <c:pt idx="2">
                  <c:v>0.59</c:v>
                </c:pt>
                <c:pt idx="3">
                  <c:v>0.57999999999999996</c:v>
                </c:pt>
                <c:pt idx="4">
                  <c:v>0.61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491-49A3-8703-FAEE2D47B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-33"/>
        <c:axId val="612713183"/>
        <c:axId val="612697823"/>
      </c:barChart>
      <c:catAx>
        <c:axId val="61271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7823"/>
        <c:crosses val="autoZero"/>
        <c:auto val="1"/>
        <c:lblAlgn val="ctr"/>
        <c:lblOffset val="100"/>
        <c:noMultiLvlLbl val="0"/>
      </c:catAx>
      <c:valAx>
        <c:axId val="612697823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1318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Resumes</a:t>
            </a:r>
            <a:r>
              <a:rPr lang="en-US" sz="1200" baseline="0"/>
              <a:t> ranking per skills</a:t>
            </a:r>
            <a:endParaRPr lang="en-US" sz="1200"/>
          </a:p>
        </c:rich>
      </c:tx>
      <c:layout>
        <c:manualLayout>
          <c:xMode val="edge"/>
          <c:yMode val="edge"/>
          <c:x val="1.1586545985726478E-2"/>
          <c:y val="0.8749998598929582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'jobPost-to-resumes.xlsx'!$AL$3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"/>
                  <c:y val="6.55737479200557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15-48C0-8C65-789929E0D452}"/>
                </c:ext>
              </c:extLst>
            </c:dLbl>
            <c:dLbl>
              <c:idx val="1"/>
              <c:layout>
                <c:manualLayout>
                  <c:x val="-1.8990347520368668E-3"/>
                  <c:y val="2.5197185939611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215-48C0-8C65-789929E0D452}"/>
                </c:ext>
              </c:extLst>
            </c:dLbl>
            <c:dLbl>
              <c:idx val="2"/>
              <c:layout>
                <c:manualLayout>
                  <c:x val="0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215-48C0-8C65-789929E0D452}"/>
                </c:ext>
              </c:extLst>
            </c:dLbl>
            <c:dLbl>
              <c:idx val="3"/>
              <c:layout>
                <c:manualLayout>
                  <c:x val="0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215-48C0-8C65-789929E0D452}"/>
                </c:ext>
              </c:extLst>
            </c:dLbl>
            <c:dLbl>
              <c:idx val="4"/>
              <c:layout>
                <c:manualLayout>
                  <c:x val="-1.8990347520369017E-3"/>
                  <c:y val="5.24589983360446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215-48C0-8C65-789929E0D452}"/>
                </c:ext>
              </c:extLst>
            </c:dLbl>
            <c:dLbl>
              <c:idx val="5"/>
              <c:layout>
                <c:manualLayout>
                  <c:x val="0"/>
                  <c:y val="-1.38888888888888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215-48C0-8C65-789929E0D4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80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'jobPost-to-resumes.xlsx'!$AM$2:$AQ$2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'jobPost-to-resumes.xlsx'!$AM$3:$AQ$3</c:f>
              <c:numCache>
                <c:formatCode>0.00</c:formatCode>
                <c:ptCount val="5"/>
                <c:pt idx="0">
                  <c:v>0.84</c:v>
                </c:pt>
                <c:pt idx="1">
                  <c:v>0.8</c:v>
                </c:pt>
                <c:pt idx="2">
                  <c:v>0.87</c:v>
                </c:pt>
                <c:pt idx="3">
                  <c:v>0.81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215-48C0-8C65-789929E0D452}"/>
            </c:ext>
          </c:extLst>
        </c:ser>
        <c:ser>
          <c:idx val="1"/>
          <c:order val="1"/>
          <c:tx>
            <c:strRef>
              <c:f>'jobPost-to-resumes.xlsx'!$AL$4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4815234932111696E-17"/>
                  <c:y val="2.62294991680223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215-48C0-8C65-789929E0D452}"/>
                </c:ext>
              </c:extLst>
            </c:dLbl>
            <c:dLbl>
              <c:idx val="3"/>
              <c:layout>
                <c:manualLayout>
                  <c:x val="0"/>
                  <c:y val="3.93442487520334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215-48C0-8C65-789929E0D452}"/>
                </c:ext>
              </c:extLst>
            </c:dLbl>
            <c:dLbl>
              <c:idx val="4"/>
              <c:layout>
                <c:manualLayout>
                  <c:x val="-3.956478733926805E-3"/>
                  <c:y val="4.371583194670385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215-48C0-8C65-789929E0D4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08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'jobPost-to-resumes.xlsx'!$AM$2:$AQ$2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'jobPost-to-resumes.xlsx'!$AM$4:$AQ$4</c:f>
              <c:numCache>
                <c:formatCode>0.00</c:formatCode>
                <c:ptCount val="5"/>
                <c:pt idx="0">
                  <c:v>0.85</c:v>
                </c:pt>
                <c:pt idx="1">
                  <c:v>0.79</c:v>
                </c:pt>
                <c:pt idx="2">
                  <c:v>0.84</c:v>
                </c:pt>
                <c:pt idx="3">
                  <c:v>0.81</c:v>
                </c:pt>
                <c:pt idx="4">
                  <c:v>0.87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215-48C0-8C65-789929E0D452}"/>
            </c:ext>
          </c:extLst>
        </c:ser>
        <c:ser>
          <c:idx val="2"/>
          <c:order val="2"/>
          <c:tx>
            <c:strRef>
              <c:f>'jobPost-to-resumes.xlsx'!$AL$5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3600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'jobPost-to-resumes.xlsx'!$AM$2:$AQ$2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'jobPost-to-resumes.xlsx'!$AM$5:$AQ$5</c:f>
              <c:numCache>
                <c:formatCode>0.00</c:formatCode>
                <c:ptCount val="5"/>
                <c:pt idx="0">
                  <c:v>0.8</c:v>
                </c:pt>
                <c:pt idx="1">
                  <c:v>0.83</c:v>
                </c:pt>
                <c:pt idx="2">
                  <c:v>0.76</c:v>
                </c:pt>
                <c:pt idx="3">
                  <c:v>0.67</c:v>
                </c:pt>
                <c:pt idx="4">
                  <c:v>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215-48C0-8C65-789929E0D452}"/>
            </c:ext>
          </c:extLst>
        </c:ser>
        <c:ser>
          <c:idx val="3"/>
          <c:order val="3"/>
          <c:tx>
            <c:strRef>
              <c:f>'jobPost-to-resumes.xlsx'!$AL$6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8.236806233511187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215-48C0-8C65-789929E0D452}"/>
                </c:ext>
              </c:extLst>
            </c:dLbl>
            <c:dLbl>
              <c:idx val="2"/>
              <c:layout>
                <c:manualLayout>
                  <c:x val="1.647361246702229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215-48C0-8C65-789929E0D452}"/>
                </c:ext>
              </c:extLst>
            </c:dLbl>
            <c:dLbl>
              <c:idx val="3"/>
              <c:layout>
                <c:manualLayout>
                  <c:x val="1.235520935026678E-2"/>
                  <c:y val="-4.6296296296296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215-48C0-8C65-789929E0D452}"/>
                </c:ext>
              </c:extLst>
            </c:dLbl>
            <c:dLbl>
              <c:idx val="4"/>
              <c:layout>
                <c:manualLayout>
                  <c:x val="1.6473612467022374E-2"/>
                  <c:y val="-4.629629629629671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215-48C0-8C65-789929E0D452}"/>
                </c:ext>
              </c:extLst>
            </c:dLbl>
            <c:dLbl>
              <c:idx val="5"/>
              <c:layout>
                <c:manualLayout>
                  <c:x val="1.23552093502667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215-48C0-8C65-789929E0D45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'jobPost-to-resumes.xlsx'!$AM$2:$AQ$2</c:f>
              <c:strCache>
                <c:ptCount val="5"/>
                <c:pt idx="0">
                  <c:v>Automotive Technician Bronx NY </c:v>
                </c:pt>
                <c:pt idx="1">
                  <c:v>Electrical Engineering Technician</c:v>
                </c:pt>
                <c:pt idx="2">
                  <c:v>Bilingual Dental Assistant Spanish preferred </c:v>
                </c:pt>
                <c:pt idx="3">
                  <c:v>Banking Professional Teller and Digital Banking Support </c:v>
                </c:pt>
                <c:pt idx="4">
                  <c:v>Full Stack Web Developer</c:v>
                </c:pt>
              </c:strCache>
            </c:strRef>
          </c:cat>
          <c:val>
            <c:numRef>
              <c:f>'jobPost-to-resumes.xlsx'!$AM$6:$AQ$6</c:f>
              <c:numCache>
                <c:formatCode>0.00</c:formatCode>
                <c:ptCount val="5"/>
                <c:pt idx="0">
                  <c:v>0.8</c:v>
                </c:pt>
                <c:pt idx="1">
                  <c:v>0.8</c:v>
                </c:pt>
                <c:pt idx="2">
                  <c:v>0.85</c:v>
                </c:pt>
                <c:pt idx="3">
                  <c:v>0.62</c:v>
                </c:pt>
                <c:pt idx="4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215-48C0-8C65-789929E0D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53"/>
        <c:overlap val="-33"/>
        <c:axId val="612713183"/>
        <c:axId val="612697823"/>
      </c:barChart>
      <c:catAx>
        <c:axId val="61271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697823"/>
        <c:crosses val="autoZero"/>
        <c:auto val="1"/>
        <c:lblAlgn val="ctr"/>
        <c:lblOffset val="100"/>
        <c:noMultiLvlLbl val="0"/>
      </c:catAx>
      <c:valAx>
        <c:axId val="612697823"/>
        <c:scaling>
          <c:orientation val="minMax"/>
          <c:max val="1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13183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Resumes to Automotive Technician Bronx NY jobpost ranking</a:t>
            </a:r>
          </a:p>
        </c:rich>
      </c:tx>
      <c:layout>
        <c:manualLayout>
          <c:xMode val="edge"/>
          <c:yMode val="edge"/>
          <c:x val="0.1584173594608165"/>
          <c:y val="2.191780821917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'jobPost-to-resumes.xlsx'!$C$87</c:f>
              <c:strCache>
                <c:ptCount val="1"/>
                <c:pt idx="0">
                  <c:v>Gemma Overall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'jobPost-to-resumes.xlsx'!$B$88:$B$92</c:f>
              <c:strCache>
                <c:ptCount val="5"/>
                <c:pt idx="0">
                  <c:v>res-id 310</c:v>
                </c:pt>
                <c:pt idx="1">
                  <c:v>res-id 748</c:v>
                </c:pt>
                <c:pt idx="2">
                  <c:v>res-id 715</c:v>
                </c:pt>
                <c:pt idx="3">
                  <c:v>res-id 638</c:v>
                </c:pt>
                <c:pt idx="4">
                  <c:v>res-id 732</c:v>
                </c:pt>
              </c:strCache>
            </c:strRef>
          </c:cat>
          <c:val>
            <c:numRef>
              <c:f>'jobPost-to-resumes.xlsx'!$C$88:$C$92</c:f>
              <c:numCache>
                <c:formatCode>0.00</c:formatCode>
                <c:ptCount val="5"/>
                <c:pt idx="0">
                  <c:v>0.85</c:v>
                </c:pt>
                <c:pt idx="1">
                  <c:v>0.82</c:v>
                </c:pt>
                <c:pt idx="2">
                  <c:v>0.8</c:v>
                </c:pt>
                <c:pt idx="3">
                  <c:v>0.8</c:v>
                </c:pt>
                <c:pt idx="4">
                  <c:v>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63-46AC-81DB-2E0298EA0955}"/>
            </c:ext>
          </c:extLst>
        </c:ser>
        <c:ser>
          <c:idx val="1"/>
          <c:order val="1"/>
          <c:tx>
            <c:strRef>
              <c:f>'jobPost-to-resumes.xlsx'!$D$87</c:f>
              <c:strCache>
                <c:ptCount val="1"/>
                <c:pt idx="0">
                  <c:v>Nomic Overall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'jobPost-to-resumes.xlsx'!$B$88:$B$92</c:f>
              <c:strCache>
                <c:ptCount val="5"/>
                <c:pt idx="0">
                  <c:v>res-id 310</c:v>
                </c:pt>
                <c:pt idx="1">
                  <c:v>res-id 748</c:v>
                </c:pt>
                <c:pt idx="2">
                  <c:v>res-id 715</c:v>
                </c:pt>
                <c:pt idx="3">
                  <c:v>res-id 638</c:v>
                </c:pt>
                <c:pt idx="4">
                  <c:v>res-id 732</c:v>
                </c:pt>
              </c:strCache>
            </c:strRef>
          </c:cat>
          <c:val>
            <c:numRef>
              <c:f>'jobPost-to-resumes.xlsx'!$D$88:$D$92</c:f>
              <c:numCache>
                <c:formatCode>0.00</c:formatCode>
                <c:ptCount val="5"/>
                <c:pt idx="0">
                  <c:v>0.77</c:v>
                </c:pt>
                <c:pt idx="1">
                  <c:v>0.76</c:v>
                </c:pt>
                <c:pt idx="2">
                  <c:v>0.76</c:v>
                </c:pt>
                <c:pt idx="3">
                  <c:v>0.74</c:v>
                </c:pt>
                <c:pt idx="4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63-46AC-81DB-2E0298EA0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ranking resume</a:t>
                </a:r>
                <a:r>
                  <a:rPr lang="en-US" baseline="0"/>
                  <a:t> per jobpost</a:t>
                </a:r>
              </a:p>
            </c:rich>
          </c:tx>
          <c:layout>
            <c:manualLayout>
              <c:xMode val="edge"/>
              <c:yMode val="edge"/>
              <c:x val="0.36856272098880943"/>
              <c:y val="0.92984460504080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9"/>
          <c:min val="0.6500000000000001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Resumes to Electrical Engineering Technician jobpost ranking</a:t>
            </a:r>
          </a:p>
        </c:rich>
      </c:tx>
      <c:layout>
        <c:manualLayout>
          <c:xMode val="edge"/>
          <c:yMode val="edge"/>
          <c:x val="0.1584173594608165"/>
          <c:y val="2.191780821917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'jobPost-to-resumes.xlsx'!$H$87</c:f>
              <c:strCache>
                <c:ptCount val="1"/>
                <c:pt idx="0">
                  <c:v>Gemma Overall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'jobPost-to-resumes.xlsx'!$G$88:$G$92</c:f>
              <c:strCache>
                <c:ptCount val="5"/>
                <c:pt idx="0">
                  <c:v>res-id 114</c:v>
                </c:pt>
                <c:pt idx="1">
                  <c:v>res-id 391</c:v>
                </c:pt>
                <c:pt idx="2">
                  <c:v>res-id 630</c:v>
                </c:pt>
                <c:pt idx="3">
                  <c:v>res-id 255</c:v>
                </c:pt>
                <c:pt idx="4">
                  <c:v>res-id 654</c:v>
                </c:pt>
              </c:strCache>
            </c:strRef>
          </c:cat>
          <c:val>
            <c:numRef>
              <c:f>'jobPost-to-resumes.xlsx'!$H$88:$H$92</c:f>
              <c:numCache>
                <c:formatCode>0.00</c:formatCode>
                <c:ptCount val="5"/>
                <c:pt idx="0">
                  <c:v>0.81</c:v>
                </c:pt>
                <c:pt idx="1">
                  <c:v>0.81</c:v>
                </c:pt>
                <c:pt idx="2">
                  <c:v>0.79</c:v>
                </c:pt>
                <c:pt idx="3">
                  <c:v>0.79</c:v>
                </c:pt>
                <c:pt idx="4">
                  <c:v>0.74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AF-4C74-8DA6-B064169B411F}"/>
            </c:ext>
          </c:extLst>
        </c:ser>
        <c:ser>
          <c:idx val="1"/>
          <c:order val="1"/>
          <c:tx>
            <c:strRef>
              <c:f>'jobPost-to-resumes.xlsx'!$I$87</c:f>
              <c:strCache>
                <c:ptCount val="1"/>
                <c:pt idx="0">
                  <c:v>Nomic Overall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'jobPost-to-resumes.xlsx'!$G$88:$G$92</c:f>
              <c:strCache>
                <c:ptCount val="5"/>
                <c:pt idx="0">
                  <c:v>res-id 114</c:v>
                </c:pt>
                <c:pt idx="1">
                  <c:v>res-id 391</c:v>
                </c:pt>
                <c:pt idx="2">
                  <c:v>res-id 630</c:v>
                </c:pt>
                <c:pt idx="3">
                  <c:v>res-id 255</c:v>
                </c:pt>
                <c:pt idx="4">
                  <c:v>res-id 654</c:v>
                </c:pt>
              </c:strCache>
            </c:strRef>
          </c:cat>
          <c:val>
            <c:numRef>
              <c:f>'jobPost-to-resumes.xlsx'!$I$88:$I$92</c:f>
              <c:numCache>
                <c:formatCode>0.00</c:formatCode>
                <c:ptCount val="5"/>
                <c:pt idx="0">
                  <c:v>0.77</c:v>
                </c:pt>
                <c:pt idx="1">
                  <c:v>0.79</c:v>
                </c:pt>
                <c:pt idx="2">
                  <c:v>0.73</c:v>
                </c:pt>
                <c:pt idx="3">
                  <c:v>0.71</c:v>
                </c:pt>
                <c:pt idx="4">
                  <c:v>0.61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DAF-4C74-8DA6-B064169B4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ranking resume</a:t>
                </a:r>
                <a:r>
                  <a:rPr lang="en-US" baseline="0"/>
                  <a:t> per jobpost</a:t>
                </a:r>
              </a:p>
            </c:rich>
          </c:tx>
          <c:layout>
            <c:manualLayout>
              <c:xMode val="edge"/>
              <c:yMode val="edge"/>
              <c:x val="0.36856272098880943"/>
              <c:y val="0.92984460504080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8500000000000000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Resumes to Bilingual Dental Assistant Spanish preferred  jobpost ranking</a:t>
            </a:r>
          </a:p>
        </c:rich>
      </c:tx>
      <c:layout>
        <c:manualLayout>
          <c:xMode val="edge"/>
          <c:yMode val="edge"/>
          <c:x val="0.1584173594608165"/>
          <c:y val="2.191780821917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'jobPost-to-resumes.xlsx'!$P$87</c:f>
              <c:strCache>
                <c:ptCount val="1"/>
                <c:pt idx="0">
                  <c:v>Gemma Overall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'jobPost-to-resumes.xlsx'!$O$88:$O$91</c:f>
              <c:strCache>
                <c:ptCount val="4"/>
                <c:pt idx="0">
                  <c:v>res-id 177</c:v>
                </c:pt>
                <c:pt idx="1">
                  <c:v>res-id 703</c:v>
                </c:pt>
                <c:pt idx="2">
                  <c:v>res-id 860</c:v>
                </c:pt>
                <c:pt idx="3">
                  <c:v>res-id 154</c:v>
                </c:pt>
              </c:strCache>
            </c:strRef>
          </c:cat>
          <c:val>
            <c:numRef>
              <c:f>'jobPost-to-resumes.xlsx'!$P$88:$P$91</c:f>
              <c:numCache>
                <c:formatCode>0.00</c:formatCode>
                <c:ptCount val="4"/>
                <c:pt idx="0">
                  <c:v>0.8</c:v>
                </c:pt>
                <c:pt idx="1">
                  <c:v>0.77</c:v>
                </c:pt>
                <c:pt idx="2">
                  <c:v>0.76</c:v>
                </c:pt>
                <c:pt idx="3">
                  <c:v>0.73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0C-4F75-8828-B281EAD94E96}"/>
            </c:ext>
          </c:extLst>
        </c:ser>
        <c:ser>
          <c:idx val="1"/>
          <c:order val="1"/>
          <c:tx>
            <c:strRef>
              <c:f>'jobPost-to-resumes.xlsx'!$Q$87</c:f>
              <c:strCache>
                <c:ptCount val="1"/>
                <c:pt idx="0">
                  <c:v>Nomic Overall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'jobPost-to-resumes.xlsx'!$O$88:$O$91</c:f>
              <c:strCache>
                <c:ptCount val="4"/>
                <c:pt idx="0">
                  <c:v>res-id 177</c:v>
                </c:pt>
                <c:pt idx="1">
                  <c:v>res-id 703</c:v>
                </c:pt>
                <c:pt idx="2">
                  <c:v>res-id 860</c:v>
                </c:pt>
                <c:pt idx="3">
                  <c:v>res-id 154</c:v>
                </c:pt>
              </c:strCache>
            </c:strRef>
          </c:cat>
          <c:val>
            <c:numRef>
              <c:f>'jobPost-to-resumes.xlsx'!$Q$88:$Q$91</c:f>
              <c:numCache>
                <c:formatCode>0.00</c:formatCode>
                <c:ptCount val="4"/>
                <c:pt idx="0">
                  <c:v>0.78</c:v>
                </c:pt>
                <c:pt idx="1">
                  <c:v>0.71</c:v>
                </c:pt>
                <c:pt idx="2">
                  <c:v>0.68</c:v>
                </c:pt>
                <c:pt idx="3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0C-4F75-8828-B281EAD94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ranking resume</a:t>
                </a:r>
                <a:r>
                  <a:rPr lang="en-US" baseline="0"/>
                  <a:t> per jobpost</a:t>
                </a:r>
              </a:p>
            </c:rich>
          </c:tx>
          <c:layout>
            <c:manualLayout>
              <c:xMode val="edge"/>
              <c:yMode val="edge"/>
              <c:x val="0.36856272098880943"/>
              <c:y val="0.92984460504080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8500000000000000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Resumes to Banking Professional Teller and Digital Banking Support jobpost ranking</a:t>
            </a:r>
          </a:p>
        </c:rich>
      </c:tx>
      <c:layout>
        <c:manualLayout>
          <c:xMode val="edge"/>
          <c:yMode val="edge"/>
          <c:x val="0.1584173594608165"/>
          <c:y val="2.191780821917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'jobPost-to-resumes.xlsx'!$C$114</c:f>
              <c:strCache>
                <c:ptCount val="1"/>
                <c:pt idx="0">
                  <c:v>Gemma Overall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'jobPost-to-resumes.xlsx'!$B$115:$B$119</c:f>
              <c:strCache>
                <c:ptCount val="5"/>
                <c:pt idx="0">
                  <c:v>res-id 495</c:v>
                </c:pt>
                <c:pt idx="1">
                  <c:v>res-id 826</c:v>
                </c:pt>
                <c:pt idx="2">
                  <c:v>res-id 569</c:v>
                </c:pt>
                <c:pt idx="3">
                  <c:v>res-id 63</c:v>
                </c:pt>
                <c:pt idx="4">
                  <c:v>res-id 668</c:v>
                </c:pt>
              </c:strCache>
            </c:strRef>
          </c:cat>
          <c:val>
            <c:numRef>
              <c:f>'jobPost-to-resumes.xlsx'!$C$115:$C$119</c:f>
              <c:numCache>
                <c:formatCode>0.00</c:formatCode>
                <c:ptCount val="5"/>
                <c:pt idx="0">
                  <c:v>0.8</c:v>
                </c:pt>
                <c:pt idx="1">
                  <c:v>0.79</c:v>
                </c:pt>
                <c:pt idx="2">
                  <c:v>0.7</c:v>
                </c:pt>
                <c:pt idx="3">
                  <c:v>0.68</c:v>
                </c:pt>
                <c:pt idx="4">
                  <c:v>0.68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D-4E53-B6A3-C1047E2E3432}"/>
            </c:ext>
          </c:extLst>
        </c:ser>
        <c:ser>
          <c:idx val="1"/>
          <c:order val="1"/>
          <c:tx>
            <c:strRef>
              <c:f>'jobPost-to-resumes.xlsx'!$D$114</c:f>
              <c:strCache>
                <c:ptCount val="1"/>
                <c:pt idx="0">
                  <c:v>Nomic Overall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'jobPost-to-resumes.xlsx'!$B$115:$B$119</c:f>
              <c:strCache>
                <c:ptCount val="5"/>
                <c:pt idx="0">
                  <c:v>res-id 495</c:v>
                </c:pt>
                <c:pt idx="1">
                  <c:v>res-id 826</c:v>
                </c:pt>
                <c:pt idx="2">
                  <c:v>res-id 569</c:v>
                </c:pt>
                <c:pt idx="3">
                  <c:v>res-id 63</c:v>
                </c:pt>
                <c:pt idx="4">
                  <c:v>res-id 668</c:v>
                </c:pt>
              </c:strCache>
            </c:strRef>
          </c:cat>
          <c:val>
            <c:numRef>
              <c:f>'jobPost-to-resumes.xlsx'!$D$115:$D$119</c:f>
              <c:numCache>
                <c:formatCode>0.00</c:formatCode>
                <c:ptCount val="5"/>
                <c:pt idx="0">
                  <c:v>0.74</c:v>
                </c:pt>
                <c:pt idx="1">
                  <c:v>0.7</c:v>
                </c:pt>
                <c:pt idx="2">
                  <c:v>0.63</c:v>
                </c:pt>
                <c:pt idx="3">
                  <c:v>0.6</c:v>
                </c:pt>
                <c:pt idx="4">
                  <c:v>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5D-4E53-B6A3-C1047E2E3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ranking resume</a:t>
                </a:r>
                <a:r>
                  <a:rPr lang="en-US" baseline="0"/>
                  <a:t> per jobpost</a:t>
                </a:r>
              </a:p>
            </c:rich>
          </c:tx>
          <c:layout>
            <c:manualLayout>
              <c:xMode val="edge"/>
              <c:yMode val="edge"/>
              <c:x val="0.36856272098880943"/>
              <c:y val="0.92984460504080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8500000000000000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Resumes to Full Stack Web Developer jobpost ranking</a:t>
            </a:r>
          </a:p>
        </c:rich>
      </c:tx>
      <c:layout>
        <c:manualLayout>
          <c:xMode val="edge"/>
          <c:yMode val="edge"/>
          <c:x val="0.1584173594608165"/>
          <c:y val="2.19178082191780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'jobPost-to-resumes.xlsx'!$H$114</c:f>
              <c:strCache>
                <c:ptCount val="1"/>
                <c:pt idx="0">
                  <c:v>Gemma Overall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'jobPost-to-resumes.xlsx'!$G$115:$G$119</c:f>
              <c:strCache>
                <c:ptCount val="5"/>
                <c:pt idx="0">
                  <c:v>res-id 382</c:v>
                </c:pt>
                <c:pt idx="1">
                  <c:v>res-id 783</c:v>
                </c:pt>
                <c:pt idx="2">
                  <c:v>res-id 63</c:v>
                </c:pt>
                <c:pt idx="3">
                  <c:v>res-id 229</c:v>
                </c:pt>
                <c:pt idx="4">
                  <c:v>res-id 56</c:v>
                </c:pt>
              </c:strCache>
            </c:strRef>
          </c:cat>
          <c:val>
            <c:numRef>
              <c:f>'jobPost-to-resumes.xlsx'!$H$115:$H$119</c:f>
              <c:numCache>
                <c:formatCode>0.00</c:formatCode>
                <c:ptCount val="5"/>
                <c:pt idx="0">
                  <c:v>0.78</c:v>
                </c:pt>
                <c:pt idx="1">
                  <c:v>0.77</c:v>
                </c:pt>
                <c:pt idx="2">
                  <c:v>0.76</c:v>
                </c:pt>
                <c:pt idx="3">
                  <c:v>0.74</c:v>
                </c:pt>
                <c:pt idx="4">
                  <c:v>0.71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63-4DAE-BBA9-21933F12E6EC}"/>
            </c:ext>
          </c:extLst>
        </c:ser>
        <c:ser>
          <c:idx val="1"/>
          <c:order val="1"/>
          <c:tx>
            <c:strRef>
              <c:f>'jobPost-to-resumes.xlsx'!$I$114</c:f>
              <c:strCache>
                <c:ptCount val="1"/>
                <c:pt idx="0">
                  <c:v>Nomic Overall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'jobPost-to-resumes.xlsx'!$G$115:$G$119</c:f>
              <c:strCache>
                <c:ptCount val="5"/>
                <c:pt idx="0">
                  <c:v>res-id 382</c:v>
                </c:pt>
                <c:pt idx="1">
                  <c:v>res-id 783</c:v>
                </c:pt>
                <c:pt idx="2">
                  <c:v>res-id 63</c:v>
                </c:pt>
                <c:pt idx="3">
                  <c:v>res-id 229</c:v>
                </c:pt>
                <c:pt idx="4">
                  <c:v>res-id 56</c:v>
                </c:pt>
              </c:strCache>
            </c:strRef>
          </c:cat>
          <c:val>
            <c:numRef>
              <c:f>'jobPost-to-resumes.xlsx'!$I$115:$I$119</c:f>
              <c:numCache>
                <c:formatCode>0.00</c:formatCode>
                <c:ptCount val="5"/>
                <c:pt idx="0">
                  <c:v>0.72</c:v>
                </c:pt>
                <c:pt idx="1">
                  <c:v>0.69</c:v>
                </c:pt>
                <c:pt idx="2">
                  <c:v>0.7</c:v>
                </c:pt>
                <c:pt idx="3">
                  <c:v>0.67</c:v>
                </c:pt>
                <c:pt idx="4">
                  <c:v>0.66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63-4DAE-BBA9-21933F12E6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1019215"/>
        <c:axId val="1011017295"/>
      </c:lineChart>
      <c:catAx>
        <c:axId val="1011019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Top ranking resume</a:t>
                </a:r>
                <a:r>
                  <a:rPr lang="en-US" baseline="0"/>
                  <a:t> per jobpost</a:t>
                </a:r>
              </a:p>
            </c:rich>
          </c:tx>
          <c:layout>
            <c:manualLayout>
              <c:xMode val="edge"/>
              <c:yMode val="edge"/>
              <c:x val="0.36856272098880943"/>
              <c:y val="0.929844605040808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7295"/>
        <c:crosses val="autoZero"/>
        <c:auto val="1"/>
        <c:lblAlgn val="ctr"/>
        <c:lblOffset val="100"/>
        <c:noMultiLvlLbl val="0"/>
      </c:catAx>
      <c:valAx>
        <c:axId val="1011017295"/>
        <c:scaling>
          <c:orientation val="minMax"/>
          <c:max val="0.85000000000000009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101921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619125</xdr:colOff>
      <xdr:row>37</xdr:row>
      <xdr:rowOff>47625</xdr:rowOff>
    </xdr:from>
    <xdr:to>
      <xdr:col>5</xdr:col>
      <xdr:colOff>933450</xdr:colOff>
      <xdr:row>55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A8FF917-588E-0354-00A3-FE73D918FD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47624</xdr:colOff>
      <xdr:row>35</xdr:row>
      <xdr:rowOff>76200</xdr:rowOff>
    </xdr:from>
    <xdr:to>
      <xdr:col>17</xdr:col>
      <xdr:colOff>84667</xdr:colOff>
      <xdr:row>50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EEF196A-F674-718B-A8BE-543B359CAC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66674</xdr:colOff>
      <xdr:row>57</xdr:row>
      <xdr:rowOff>38100</xdr:rowOff>
    </xdr:from>
    <xdr:to>
      <xdr:col>17</xdr:col>
      <xdr:colOff>133349</xdr:colOff>
      <xdr:row>72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5DB354-8C33-D002-74D4-CBBB1C4F9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666750</xdr:colOff>
      <xdr:row>63</xdr:row>
      <xdr:rowOff>63500</xdr:rowOff>
    </xdr:from>
    <xdr:to>
      <xdr:col>5</xdr:col>
      <xdr:colOff>981075</xdr:colOff>
      <xdr:row>81</xdr:row>
      <xdr:rowOff>111125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9FD52A8E-A591-4308-A9DF-29FC645A096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35</xdr:row>
      <xdr:rowOff>84664</xdr:rowOff>
    </xdr:from>
    <xdr:to>
      <xdr:col>29</xdr:col>
      <xdr:colOff>549275</xdr:colOff>
      <xdr:row>50</xdr:row>
      <xdr:rowOff>132290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C4FBF8E0-0889-4EF7-8662-A52C66B37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0</xdr:colOff>
      <xdr:row>57</xdr:row>
      <xdr:rowOff>52921</xdr:rowOff>
    </xdr:from>
    <xdr:to>
      <xdr:col>29</xdr:col>
      <xdr:colOff>549275</xdr:colOff>
      <xdr:row>72</xdr:row>
      <xdr:rowOff>100547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77F497E-17C7-4F23-87E8-E6458E9A65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31</xdr:col>
      <xdr:colOff>137587</xdr:colOff>
      <xdr:row>35</xdr:row>
      <xdr:rowOff>84670</xdr:rowOff>
    </xdr:from>
    <xdr:to>
      <xdr:col>42</xdr:col>
      <xdr:colOff>73028</xdr:colOff>
      <xdr:row>50</xdr:row>
      <xdr:rowOff>132296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403EEFF4-47D5-4FE4-9662-0A03CF1EB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21167</xdr:colOff>
      <xdr:row>7</xdr:row>
      <xdr:rowOff>31750</xdr:rowOff>
    </xdr:from>
    <xdr:to>
      <xdr:col>35</xdr:col>
      <xdr:colOff>570442</xdr:colOff>
      <xdr:row>22</xdr:row>
      <xdr:rowOff>79376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663E2338-F3D7-4AC2-ABE9-AD06CE49A2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37</xdr:col>
      <xdr:colOff>0</xdr:colOff>
      <xdr:row>7</xdr:row>
      <xdr:rowOff>0</xdr:rowOff>
    </xdr:from>
    <xdr:to>
      <xdr:col>47</xdr:col>
      <xdr:colOff>549275</xdr:colOff>
      <xdr:row>22</xdr:row>
      <xdr:rowOff>47626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0E60E99E-B43E-4BEE-B014-5F9B065011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687917</xdr:colOff>
      <xdr:row>92</xdr:row>
      <xdr:rowOff>158750</xdr:rowOff>
    </xdr:from>
    <xdr:to>
      <xdr:col>6</xdr:col>
      <xdr:colOff>7408</xdr:colOff>
      <xdr:row>111</xdr:row>
      <xdr:rowOff>15875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B6E9439-80D5-4B5C-8578-6E0FC180C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0</xdr:colOff>
      <xdr:row>93</xdr:row>
      <xdr:rowOff>0</xdr:rowOff>
    </xdr:from>
    <xdr:to>
      <xdr:col>13</xdr:col>
      <xdr:colOff>462491</xdr:colOff>
      <xdr:row>111</xdr:row>
      <xdr:rowOff>47625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8E8D9E-E0F0-41EE-BB61-EFFDE99237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14</xdr:col>
      <xdr:colOff>0</xdr:colOff>
      <xdr:row>93</xdr:row>
      <xdr:rowOff>0</xdr:rowOff>
    </xdr:from>
    <xdr:to>
      <xdr:col>22</xdr:col>
      <xdr:colOff>398991</xdr:colOff>
      <xdr:row>111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C5AD249-B73B-4FCB-B149-437C85E3D1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772583</xdr:colOff>
      <xdr:row>119</xdr:row>
      <xdr:rowOff>95250</xdr:rowOff>
    </xdr:from>
    <xdr:to>
      <xdr:col>6</xdr:col>
      <xdr:colOff>92074</xdr:colOff>
      <xdr:row>137</xdr:row>
      <xdr:rowOff>142875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F421A07-297D-49BB-A4DD-B694FF1450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846666</xdr:colOff>
      <xdr:row>119</xdr:row>
      <xdr:rowOff>84667</xdr:rowOff>
    </xdr:from>
    <xdr:to>
      <xdr:col>13</xdr:col>
      <xdr:colOff>398991</xdr:colOff>
      <xdr:row>137</xdr:row>
      <xdr:rowOff>132292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651025C-C7AE-4003-97C6-4DD44C713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6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7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8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9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0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1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4472C4"/>
    </a:accent1>
    <a:accent2>
      <a:srgbClr val="ED7D31"/>
    </a:accent2>
    <a:accent3>
      <a:srgbClr val="A5A5A5"/>
    </a:accent3>
    <a:accent4>
      <a:srgbClr val="FFC000"/>
    </a:accent4>
    <a:accent5>
      <a:srgbClr val="5B9BD5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19"/>
  <sheetViews>
    <sheetView tabSelected="1" zoomScale="90" zoomScaleNormal="90" workbookViewId="0">
      <pane ySplit="1" topLeftCell="A2" activePane="bottomLeft" state="frozen"/>
      <selection pane="bottomLeft" activeCell="X21" sqref="X21"/>
    </sheetView>
  </sheetViews>
  <sheetFormatPr defaultRowHeight="15" x14ac:dyDescent="0.25"/>
  <cols>
    <col min="1" max="1" width="22.85546875" bestFit="1" customWidth="1"/>
    <col min="3" max="3" width="19.28515625" customWidth="1"/>
    <col min="5" max="5" width="14.28515625" customWidth="1"/>
    <col min="6" max="6" width="14.85546875" bestFit="1" customWidth="1"/>
    <col min="7" max="7" width="13.7109375" bestFit="1" customWidth="1"/>
    <col min="8" max="8" width="12.140625" customWidth="1"/>
    <col min="9" max="9" width="12.5703125" customWidth="1"/>
    <col min="10" max="10" width="12.7109375" customWidth="1"/>
    <col min="11" max="11" width="11.140625" customWidth="1"/>
    <col min="12" max="12" width="13" customWidth="1"/>
    <col min="13" max="13" width="11.140625" customWidth="1"/>
    <col min="14" max="14" width="10.5703125" customWidth="1"/>
  </cols>
  <sheetData>
    <row r="1" spans="1:4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s="5" t="s">
        <v>7</v>
      </c>
      <c r="I1" t="s">
        <v>8</v>
      </c>
      <c r="J1" s="5" t="s">
        <v>9</v>
      </c>
      <c r="K1" t="s">
        <v>10</v>
      </c>
      <c r="L1" s="5" t="s">
        <v>11</v>
      </c>
      <c r="M1" t="s">
        <v>12</v>
      </c>
      <c r="N1" s="5" t="s">
        <v>13</v>
      </c>
      <c r="O1" t="s">
        <v>14</v>
      </c>
      <c r="P1" s="5" t="s">
        <v>15</v>
      </c>
      <c r="Q1" t="s">
        <v>16</v>
      </c>
      <c r="R1" s="5" t="s">
        <v>17</v>
      </c>
      <c r="S1" t="s">
        <v>18</v>
      </c>
      <c r="T1" t="s">
        <v>19</v>
      </c>
      <c r="U1" t="s">
        <v>20</v>
      </c>
      <c r="W1" t="s">
        <v>111</v>
      </c>
      <c r="X1" t="s">
        <v>112</v>
      </c>
    </row>
    <row r="2" spans="1:43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 t="s">
        <v>26</v>
      </c>
      <c r="G2" s="1" t="s">
        <v>27</v>
      </c>
      <c r="H2" s="1">
        <v>0.9</v>
      </c>
      <c r="I2" s="1">
        <v>0.79</v>
      </c>
      <c r="J2" s="1">
        <v>0.74</v>
      </c>
      <c r="K2" s="1" t="s">
        <v>30</v>
      </c>
      <c r="L2" s="1">
        <v>0.9</v>
      </c>
      <c r="M2" s="1">
        <v>0.84</v>
      </c>
      <c r="N2" s="1">
        <v>0.88</v>
      </c>
      <c r="O2" s="1" t="s">
        <v>31</v>
      </c>
      <c r="P2" s="1">
        <v>0.85</v>
      </c>
      <c r="Q2" s="1">
        <v>0.82</v>
      </c>
      <c r="R2" s="1">
        <v>0.84</v>
      </c>
      <c r="S2" s="1">
        <v>0.71</v>
      </c>
      <c r="T2" s="1" t="s">
        <v>34</v>
      </c>
      <c r="U2" t="s">
        <v>35</v>
      </c>
      <c r="W2" s="1">
        <f>(H2+L2+P2+R2)/4</f>
        <v>0.87249999999999994</v>
      </c>
      <c r="X2" s="1">
        <f>(I2+M2+Q2+S2)/4</f>
        <v>0.78999999999999992</v>
      </c>
      <c r="AC2" t="s">
        <v>25</v>
      </c>
      <c r="AD2" t="s">
        <v>51</v>
      </c>
      <c r="AE2" t="s">
        <v>71</v>
      </c>
      <c r="AF2" t="s">
        <v>83</v>
      </c>
      <c r="AG2" t="s">
        <v>100</v>
      </c>
      <c r="AM2" t="s">
        <v>25</v>
      </c>
      <c r="AN2" t="s">
        <v>51</v>
      </c>
      <c r="AO2" t="s">
        <v>71</v>
      </c>
      <c r="AP2" t="s">
        <v>83</v>
      </c>
      <c r="AQ2" t="s">
        <v>100</v>
      </c>
    </row>
    <row r="3" spans="1:43" x14ac:dyDescent="0.25">
      <c r="A3" t="s">
        <v>21</v>
      </c>
      <c r="B3" t="s">
        <v>36</v>
      </c>
      <c r="C3" t="s">
        <v>37</v>
      </c>
      <c r="D3" t="s">
        <v>24</v>
      </c>
      <c r="E3" t="s">
        <v>25</v>
      </c>
      <c r="F3" s="1" t="s">
        <v>32</v>
      </c>
      <c r="G3" s="1" t="s">
        <v>38</v>
      </c>
      <c r="H3" s="1">
        <v>0.9</v>
      </c>
      <c r="I3" s="1">
        <v>0.83</v>
      </c>
      <c r="J3" s="1">
        <v>0.76</v>
      </c>
      <c r="K3" s="1" t="s">
        <v>30</v>
      </c>
      <c r="L3" s="1">
        <v>0.87</v>
      </c>
      <c r="M3" s="1">
        <v>0.8</v>
      </c>
      <c r="N3" s="1">
        <v>0.74</v>
      </c>
      <c r="O3" s="1" t="s">
        <v>39</v>
      </c>
      <c r="P3" s="1">
        <v>0.82</v>
      </c>
      <c r="Q3" s="1">
        <v>0.79</v>
      </c>
      <c r="R3" s="1">
        <v>0.85</v>
      </c>
      <c r="S3" s="1">
        <v>0.75</v>
      </c>
      <c r="T3" s="1" t="s">
        <v>33</v>
      </c>
      <c r="U3" t="s">
        <v>41</v>
      </c>
      <c r="W3" s="1"/>
      <c r="X3" s="1"/>
      <c r="AB3">
        <v>1</v>
      </c>
      <c r="AC3" s="1">
        <v>0.88</v>
      </c>
      <c r="AD3" s="1">
        <v>0.68</v>
      </c>
      <c r="AE3" s="1">
        <v>0.61</v>
      </c>
      <c r="AF3" s="1">
        <v>0.71</v>
      </c>
      <c r="AG3" s="1">
        <v>0.68</v>
      </c>
      <c r="AL3">
        <v>1</v>
      </c>
      <c r="AM3" s="1">
        <v>0.84</v>
      </c>
      <c r="AN3" s="1">
        <v>0.8</v>
      </c>
      <c r="AO3" s="1">
        <v>0.87</v>
      </c>
      <c r="AP3" s="1">
        <v>0.81</v>
      </c>
      <c r="AQ3" s="1">
        <v>0.8</v>
      </c>
    </row>
    <row r="4" spans="1:43" x14ac:dyDescent="0.25">
      <c r="A4" t="s">
        <v>21</v>
      </c>
      <c r="B4" t="s">
        <v>42</v>
      </c>
      <c r="C4" t="s">
        <v>37</v>
      </c>
      <c r="D4" t="s">
        <v>24</v>
      </c>
      <c r="E4" t="s">
        <v>25</v>
      </c>
      <c r="F4" s="1" t="s">
        <v>31</v>
      </c>
      <c r="G4" s="1" t="s">
        <v>38</v>
      </c>
      <c r="H4" s="1">
        <v>0.9</v>
      </c>
      <c r="I4" s="1">
        <v>0.83</v>
      </c>
      <c r="J4" s="1">
        <v>0.8</v>
      </c>
      <c r="K4" s="1" t="s">
        <v>30</v>
      </c>
      <c r="L4" s="1">
        <v>0.83</v>
      </c>
      <c r="M4" s="1">
        <v>0.79</v>
      </c>
      <c r="N4" s="1">
        <v>0.72</v>
      </c>
      <c r="O4" s="1" t="s">
        <v>43</v>
      </c>
      <c r="P4" s="1">
        <v>0.76</v>
      </c>
      <c r="Q4" s="1">
        <v>0.77</v>
      </c>
      <c r="R4" s="1">
        <v>0.8</v>
      </c>
      <c r="S4" s="1">
        <v>0.74</v>
      </c>
      <c r="T4" s="1" t="s">
        <v>39</v>
      </c>
      <c r="U4" t="s">
        <v>29</v>
      </c>
      <c r="W4" s="1"/>
      <c r="X4" s="1"/>
      <c r="AB4">
        <v>2</v>
      </c>
      <c r="AC4" s="1">
        <v>0.74</v>
      </c>
      <c r="AD4" s="1">
        <v>0.84</v>
      </c>
      <c r="AE4" s="1">
        <v>0.54</v>
      </c>
      <c r="AF4" s="1">
        <v>0.87</v>
      </c>
      <c r="AG4" s="1">
        <v>0.63</v>
      </c>
      <c r="AL4">
        <v>2</v>
      </c>
      <c r="AM4" s="1">
        <v>0.85</v>
      </c>
      <c r="AN4" s="1">
        <v>0.79</v>
      </c>
      <c r="AO4" s="1">
        <v>0.84</v>
      </c>
      <c r="AP4" s="1">
        <v>0.81</v>
      </c>
      <c r="AQ4" s="1">
        <v>0.87</v>
      </c>
    </row>
    <row r="5" spans="1:43" x14ac:dyDescent="0.25">
      <c r="A5" t="s">
        <v>21</v>
      </c>
      <c r="B5" t="s">
        <v>44</v>
      </c>
      <c r="C5" t="s">
        <v>37</v>
      </c>
      <c r="D5" t="s">
        <v>24</v>
      </c>
      <c r="E5" t="s">
        <v>25</v>
      </c>
      <c r="F5" s="1" t="s">
        <v>31</v>
      </c>
      <c r="G5" s="1" t="s">
        <v>29</v>
      </c>
      <c r="H5" s="1">
        <v>0.9</v>
      </c>
      <c r="I5" s="1">
        <v>0.83</v>
      </c>
      <c r="J5" s="1">
        <v>0.78</v>
      </c>
      <c r="K5" s="1" t="s">
        <v>30</v>
      </c>
      <c r="L5" s="1">
        <v>0.9</v>
      </c>
      <c r="M5" s="1">
        <v>0.81</v>
      </c>
      <c r="N5" s="1">
        <v>0.71</v>
      </c>
      <c r="O5" s="1" t="s">
        <v>38</v>
      </c>
      <c r="P5" s="1">
        <v>0.7</v>
      </c>
      <c r="Q5" s="1">
        <v>0.69</v>
      </c>
      <c r="R5" s="1">
        <v>0.8</v>
      </c>
      <c r="S5" s="1">
        <v>0.67</v>
      </c>
      <c r="T5" s="1" t="s">
        <v>40</v>
      </c>
      <c r="U5" t="s">
        <v>46</v>
      </c>
      <c r="W5" s="1"/>
      <c r="X5" s="1"/>
      <c r="AB5">
        <v>3</v>
      </c>
      <c r="AC5" s="1">
        <v>0.72</v>
      </c>
      <c r="AD5" s="1">
        <v>0.77</v>
      </c>
      <c r="AE5" s="1">
        <v>0.63</v>
      </c>
      <c r="AF5" s="1">
        <v>0.62</v>
      </c>
      <c r="AG5" s="1">
        <v>0.67</v>
      </c>
      <c r="AL5">
        <v>3</v>
      </c>
      <c r="AM5" s="1">
        <v>0.8</v>
      </c>
      <c r="AN5" s="1">
        <v>0.83</v>
      </c>
      <c r="AO5" s="1">
        <v>0.76</v>
      </c>
      <c r="AP5" s="1">
        <v>0.67</v>
      </c>
      <c r="AQ5" s="1">
        <v>0.8</v>
      </c>
    </row>
    <row r="6" spans="1:43" x14ac:dyDescent="0.25">
      <c r="A6" t="s">
        <v>21</v>
      </c>
      <c r="B6" t="s">
        <v>48</v>
      </c>
      <c r="C6" t="s">
        <v>37</v>
      </c>
      <c r="D6" t="s">
        <v>24</v>
      </c>
      <c r="E6" t="s">
        <v>25</v>
      </c>
      <c r="F6" s="1" t="s">
        <v>31</v>
      </c>
      <c r="G6" s="1" t="s">
        <v>40</v>
      </c>
      <c r="H6" s="1">
        <v>0.9</v>
      </c>
      <c r="I6" s="1">
        <v>0.83</v>
      </c>
      <c r="J6" s="1">
        <v>0.8</v>
      </c>
      <c r="K6" s="1" t="s">
        <v>43</v>
      </c>
      <c r="L6" s="1">
        <v>0.76</v>
      </c>
      <c r="M6" s="1">
        <v>0.71</v>
      </c>
      <c r="N6" s="1">
        <v>0.67</v>
      </c>
      <c r="O6" s="1" t="s">
        <v>39</v>
      </c>
      <c r="P6" s="1">
        <v>0.83</v>
      </c>
      <c r="Q6" s="1">
        <v>0.82</v>
      </c>
      <c r="R6" s="1">
        <v>0.84</v>
      </c>
      <c r="S6" s="1">
        <v>0.71</v>
      </c>
      <c r="T6" s="1" t="s">
        <v>39</v>
      </c>
      <c r="U6" t="s">
        <v>49</v>
      </c>
      <c r="W6" s="1"/>
      <c r="X6" s="1"/>
      <c r="AB6">
        <v>4</v>
      </c>
      <c r="AC6" s="1">
        <v>0.71</v>
      </c>
      <c r="AD6" s="1">
        <v>0.7</v>
      </c>
      <c r="AE6" s="1">
        <v>0.59</v>
      </c>
      <c r="AF6" s="1">
        <v>0.57999999999999996</v>
      </c>
      <c r="AG6" s="1">
        <v>0.61</v>
      </c>
      <c r="AL6">
        <v>4</v>
      </c>
      <c r="AM6" s="1">
        <v>0.8</v>
      </c>
      <c r="AN6" s="1">
        <v>0.8</v>
      </c>
      <c r="AO6" s="1">
        <v>0.85</v>
      </c>
      <c r="AP6" s="1">
        <v>0.62</v>
      </c>
      <c r="AQ6" s="1">
        <v>0.75</v>
      </c>
    </row>
    <row r="7" spans="1:43" x14ac:dyDescent="0.25"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AM7" s="1"/>
      <c r="AN7" s="1"/>
      <c r="AP7" s="1"/>
      <c r="AQ7" s="1"/>
    </row>
    <row r="8" spans="1:43" x14ac:dyDescent="0.25">
      <c r="A8" t="s">
        <v>21</v>
      </c>
      <c r="B8" t="s">
        <v>50</v>
      </c>
      <c r="C8" t="s">
        <v>51</v>
      </c>
      <c r="D8" t="s">
        <v>52</v>
      </c>
      <c r="E8" t="s">
        <v>51</v>
      </c>
      <c r="F8" s="1" t="s">
        <v>34</v>
      </c>
      <c r="G8" s="1" t="s">
        <v>27</v>
      </c>
      <c r="H8" s="1">
        <v>1</v>
      </c>
      <c r="I8" s="1">
        <v>1</v>
      </c>
      <c r="J8" s="1">
        <v>0.76</v>
      </c>
      <c r="K8" s="1" t="s">
        <v>38</v>
      </c>
      <c r="L8" s="1">
        <v>0.79</v>
      </c>
      <c r="M8" s="1">
        <v>0.68</v>
      </c>
      <c r="N8" s="1">
        <v>0.68</v>
      </c>
      <c r="O8" s="1" t="s">
        <v>53</v>
      </c>
      <c r="P8" s="1">
        <v>0.85</v>
      </c>
      <c r="Q8" s="1">
        <v>0.81</v>
      </c>
      <c r="R8" s="1">
        <v>0.8</v>
      </c>
      <c r="S8" s="1">
        <v>0.7</v>
      </c>
      <c r="T8" s="1" t="s">
        <v>54</v>
      </c>
      <c r="U8" t="s">
        <v>55</v>
      </c>
      <c r="W8" s="1">
        <f>(H8+L8+P8+R8)/4</f>
        <v>0.8600000000000001</v>
      </c>
      <c r="X8" s="1">
        <f>(I8+M8+Q8+S8)/4</f>
        <v>0.7975000000000001</v>
      </c>
    </row>
    <row r="9" spans="1:43" x14ac:dyDescent="0.25">
      <c r="A9" t="s">
        <v>21</v>
      </c>
      <c r="B9" t="s">
        <v>56</v>
      </c>
      <c r="C9" t="s">
        <v>57</v>
      </c>
      <c r="D9" t="s">
        <v>52</v>
      </c>
      <c r="E9" t="s">
        <v>51</v>
      </c>
      <c r="F9" s="1" t="s">
        <v>34</v>
      </c>
      <c r="G9" s="1" t="s">
        <v>28</v>
      </c>
      <c r="H9" s="1">
        <v>0.95</v>
      </c>
      <c r="I9" s="1">
        <v>0.85</v>
      </c>
      <c r="J9" s="1">
        <v>0.79</v>
      </c>
      <c r="K9" s="1" t="s">
        <v>38</v>
      </c>
      <c r="L9" s="1">
        <v>0.78</v>
      </c>
      <c r="M9" s="1">
        <v>0.79</v>
      </c>
      <c r="N9" s="1">
        <v>0.84</v>
      </c>
      <c r="O9" s="1" t="s">
        <v>58</v>
      </c>
      <c r="P9" s="1">
        <v>0.73</v>
      </c>
      <c r="Q9" s="1">
        <v>0.72</v>
      </c>
      <c r="R9" s="1">
        <v>0.79</v>
      </c>
      <c r="S9" s="1">
        <v>0.75</v>
      </c>
      <c r="T9" s="1" t="s">
        <v>59</v>
      </c>
      <c r="U9" t="s">
        <v>60</v>
      </c>
      <c r="W9" s="1"/>
      <c r="X9" s="1"/>
    </row>
    <row r="10" spans="1:43" x14ac:dyDescent="0.25">
      <c r="A10" t="s">
        <v>21</v>
      </c>
      <c r="B10" t="s">
        <v>61</v>
      </c>
      <c r="C10" t="s">
        <v>51</v>
      </c>
      <c r="D10" t="s">
        <v>52</v>
      </c>
      <c r="E10" t="s">
        <v>51</v>
      </c>
      <c r="F10" s="1" t="s">
        <v>28</v>
      </c>
      <c r="G10" s="1" t="s">
        <v>43</v>
      </c>
      <c r="H10" s="1">
        <v>1</v>
      </c>
      <c r="I10" s="1">
        <v>1</v>
      </c>
      <c r="J10" s="1">
        <v>0.73</v>
      </c>
      <c r="K10" s="1" t="s">
        <v>35</v>
      </c>
      <c r="L10" s="1">
        <v>0.75</v>
      </c>
      <c r="M10" s="1">
        <v>0.71</v>
      </c>
      <c r="N10" s="1">
        <v>0.77</v>
      </c>
      <c r="O10" s="1" t="s">
        <v>43</v>
      </c>
      <c r="P10" s="1">
        <v>0.63</v>
      </c>
      <c r="Q10" s="1">
        <v>0.55000000000000004</v>
      </c>
      <c r="R10" s="1">
        <v>0.83</v>
      </c>
      <c r="S10" s="1">
        <v>0.71</v>
      </c>
      <c r="T10" s="1" t="s">
        <v>47</v>
      </c>
      <c r="U10" t="s">
        <v>55</v>
      </c>
      <c r="W10" s="1"/>
      <c r="X10" s="1"/>
    </row>
    <row r="11" spans="1:43" x14ac:dyDescent="0.25">
      <c r="A11" t="s">
        <v>21</v>
      </c>
      <c r="B11" t="s">
        <v>62</v>
      </c>
      <c r="C11" t="s">
        <v>51</v>
      </c>
      <c r="D11" t="s">
        <v>52</v>
      </c>
      <c r="E11" t="s">
        <v>51</v>
      </c>
      <c r="F11" s="1" t="s">
        <v>28</v>
      </c>
      <c r="G11" s="1" t="s">
        <v>33</v>
      </c>
      <c r="H11" s="1">
        <v>1</v>
      </c>
      <c r="I11" s="1">
        <v>1</v>
      </c>
      <c r="J11" s="1">
        <v>0.7</v>
      </c>
      <c r="K11" s="1" t="s">
        <v>63</v>
      </c>
      <c r="L11" s="1">
        <v>0.79</v>
      </c>
      <c r="M11" s="1">
        <v>0.64</v>
      </c>
      <c r="N11" s="1">
        <v>0.7</v>
      </c>
      <c r="O11" s="1" t="s">
        <v>35</v>
      </c>
      <c r="P11" s="1">
        <v>0.72</v>
      </c>
      <c r="Q11" s="1">
        <v>0.68</v>
      </c>
      <c r="R11" s="1">
        <v>0.8</v>
      </c>
      <c r="S11" s="1">
        <v>0.71</v>
      </c>
      <c r="T11" s="1" t="s">
        <v>53</v>
      </c>
      <c r="U11" t="s">
        <v>64</v>
      </c>
      <c r="W11" s="1"/>
      <c r="X11" s="1"/>
    </row>
    <row r="12" spans="1:43" x14ac:dyDescent="0.25">
      <c r="A12" t="s">
        <v>21</v>
      </c>
      <c r="B12" t="s">
        <v>65</v>
      </c>
      <c r="C12" t="s">
        <v>66</v>
      </c>
      <c r="D12" t="s">
        <v>52</v>
      </c>
      <c r="E12" t="s">
        <v>51</v>
      </c>
      <c r="F12" s="1" t="s">
        <v>29</v>
      </c>
      <c r="G12" s="1" t="s">
        <v>59</v>
      </c>
      <c r="H12" s="1">
        <v>0.72</v>
      </c>
      <c r="I12" s="1">
        <v>0.47</v>
      </c>
      <c r="J12" s="1">
        <v>0.77</v>
      </c>
      <c r="K12" s="1" t="s">
        <v>53</v>
      </c>
      <c r="L12" s="1">
        <v>0.75</v>
      </c>
      <c r="M12" s="1">
        <v>0.65</v>
      </c>
      <c r="N12" s="1">
        <v>0.68</v>
      </c>
      <c r="O12" s="1" t="s">
        <v>53</v>
      </c>
      <c r="P12" s="1">
        <v>0.73</v>
      </c>
      <c r="Q12" s="1">
        <v>0.65</v>
      </c>
      <c r="R12" s="1">
        <v>0.76</v>
      </c>
      <c r="S12" s="1">
        <v>0.61</v>
      </c>
      <c r="T12" s="1" t="s">
        <v>30</v>
      </c>
      <c r="U12" t="s">
        <v>67</v>
      </c>
      <c r="W12" s="1"/>
      <c r="X12" s="1"/>
    </row>
    <row r="13" spans="1:43" x14ac:dyDescent="0.25"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43" x14ac:dyDescent="0.25">
      <c r="A14" t="s">
        <v>21</v>
      </c>
      <c r="B14" t="s">
        <v>68</v>
      </c>
      <c r="C14" t="s">
        <v>69</v>
      </c>
      <c r="D14" t="s">
        <v>70</v>
      </c>
      <c r="E14" t="s">
        <v>71</v>
      </c>
      <c r="F14" s="1" t="s">
        <v>31</v>
      </c>
      <c r="G14" s="1" t="s">
        <v>45</v>
      </c>
      <c r="H14" s="1">
        <v>0.83</v>
      </c>
      <c r="I14" s="1">
        <v>0.79</v>
      </c>
      <c r="J14" s="1">
        <v>0.8</v>
      </c>
      <c r="K14" s="1" t="s">
        <v>38</v>
      </c>
      <c r="L14" s="1">
        <v>0.84</v>
      </c>
      <c r="M14" s="1">
        <v>0.81</v>
      </c>
      <c r="N14" s="1">
        <v>0.61</v>
      </c>
      <c r="O14" s="1" t="s">
        <v>41</v>
      </c>
      <c r="P14" s="1">
        <v>0.86</v>
      </c>
      <c r="Q14" s="1">
        <v>0.88</v>
      </c>
      <c r="R14" s="1">
        <v>0.87</v>
      </c>
      <c r="S14" s="1">
        <v>0.8</v>
      </c>
      <c r="T14" s="1" t="s">
        <v>33</v>
      </c>
      <c r="U14" t="s">
        <v>30</v>
      </c>
      <c r="W14" s="1">
        <f>(H14+L14+P14+R14)/4</f>
        <v>0.85</v>
      </c>
      <c r="X14" s="1">
        <f>(I14+M14+Q14+S14)/4</f>
        <v>0.82000000000000006</v>
      </c>
    </row>
    <row r="15" spans="1:43" x14ac:dyDescent="0.25">
      <c r="A15" t="s">
        <v>21</v>
      </c>
      <c r="B15" t="s">
        <v>72</v>
      </c>
      <c r="C15" t="s">
        <v>69</v>
      </c>
      <c r="D15" t="s">
        <v>70</v>
      </c>
      <c r="E15" t="s">
        <v>71</v>
      </c>
      <c r="F15" s="1" t="s">
        <v>27</v>
      </c>
      <c r="G15" s="1" t="s">
        <v>33</v>
      </c>
      <c r="H15" s="1">
        <v>0.83</v>
      </c>
      <c r="I15" s="1">
        <v>0.79</v>
      </c>
      <c r="J15" s="1">
        <v>0.76</v>
      </c>
      <c r="K15" s="1" t="s">
        <v>38</v>
      </c>
      <c r="L15" s="1">
        <v>0.88</v>
      </c>
      <c r="M15" s="1">
        <v>0.75</v>
      </c>
      <c r="N15" s="1">
        <v>0.54</v>
      </c>
      <c r="O15" s="1" t="s">
        <v>74</v>
      </c>
      <c r="P15" s="1">
        <v>0.75</v>
      </c>
      <c r="Q15" s="1">
        <v>0.78</v>
      </c>
      <c r="R15" s="1">
        <v>0.84</v>
      </c>
      <c r="S15" s="1">
        <v>0.7</v>
      </c>
      <c r="T15" s="1" t="s">
        <v>63</v>
      </c>
      <c r="U15" t="s">
        <v>60</v>
      </c>
      <c r="W15" s="1"/>
      <c r="X15" s="1"/>
    </row>
    <row r="16" spans="1:43" x14ac:dyDescent="0.25">
      <c r="A16" t="s">
        <v>21</v>
      </c>
      <c r="B16" t="s">
        <v>75</v>
      </c>
      <c r="C16" t="s">
        <v>69</v>
      </c>
      <c r="D16" t="s">
        <v>70</v>
      </c>
      <c r="E16" t="s">
        <v>71</v>
      </c>
      <c r="F16" s="1" t="s">
        <v>38</v>
      </c>
      <c r="G16" s="1" t="s">
        <v>35</v>
      </c>
      <c r="H16" s="1">
        <v>0.83</v>
      </c>
      <c r="I16" s="1">
        <v>0.79</v>
      </c>
      <c r="J16" s="1">
        <v>0.64</v>
      </c>
      <c r="K16" s="1" t="s">
        <v>76</v>
      </c>
      <c r="L16" s="1">
        <v>0.8</v>
      </c>
      <c r="M16" s="1">
        <v>0.69</v>
      </c>
      <c r="N16" s="1">
        <v>0.63</v>
      </c>
      <c r="O16" s="1" t="s">
        <v>55</v>
      </c>
      <c r="P16" s="1">
        <v>0.87</v>
      </c>
      <c r="Q16" s="1">
        <v>0.87</v>
      </c>
      <c r="R16" s="1">
        <v>0.76</v>
      </c>
      <c r="S16" s="1">
        <v>0.64</v>
      </c>
      <c r="T16" s="1" t="s">
        <v>40</v>
      </c>
      <c r="U16" t="s">
        <v>77</v>
      </c>
      <c r="W16" s="1"/>
      <c r="X16" s="1"/>
    </row>
    <row r="17" spans="1:37" x14ac:dyDescent="0.25">
      <c r="A17" t="s">
        <v>21</v>
      </c>
      <c r="B17" t="s">
        <v>78</v>
      </c>
      <c r="C17" t="s">
        <v>79</v>
      </c>
      <c r="D17" t="s">
        <v>70</v>
      </c>
      <c r="E17" t="s">
        <v>71</v>
      </c>
      <c r="F17" s="1" t="s">
        <v>43</v>
      </c>
      <c r="G17" s="1" t="s">
        <v>46</v>
      </c>
      <c r="H17" s="1">
        <v>0.76</v>
      </c>
      <c r="I17" s="1">
        <v>0.7</v>
      </c>
      <c r="J17" s="1">
        <v>0.68</v>
      </c>
      <c r="K17" s="1" t="s">
        <v>54</v>
      </c>
      <c r="L17" s="1">
        <v>0.82</v>
      </c>
      <c r="M17" s="1">
        <v>0.77</v>
      </c>
      <c r="N17" s="1">
        <v>0.59</v>
      </c>
      <c r="O17" s="1" t="s">
        <v>49</v>
      </c>
      <c r="P17" s="1">
        <v>0.65</v>
      </c>
      <c r="Q17" s="1">
        <v>0.74</v>
      </c>
      <c r="R17" s="1">
        <v>0.85</v>
      </c>
      <c r="S17" s="1">
        <v>0.73</v>
      </c>
      <c r="T17" s="1" t="s">
        <v>29</v>
      </c>
      <c r="U17" t="s">
        <v>49</v>
      </c>
      <c r="W17" s="1"/>
      <c r="X17" s="1"/>
    </row>
    <row r="18" spans="1:37" x14ac:dyDescent="0.25"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37" x14ac:dyDescent="0.25">
      <c r="A19" t="s">
        <v>21</v>
      </c>
      <c r="B19" t="s">
        <v>80</v>
      </c>
      <c r="C19" t="s">
        <v>81</v>
      </c>
      <c r="D19" t="s">
        <v>82</v>
      </c>
      <c r="E19" t="s">
        <v>83</v>
      </c>
      <c r="F19" s="1" t="s">
        <v>31</v>
      </c>
      <c r="G19" s="1" t="s">
        <v>29</v>
      </c>
      <c r="H19" s="1">
        <v>0.82</v>
      </c>
      <c r="I19" s="1">
        <v>0.76</v>
      </c>
      <c r="J19" s="1">
        <v>0.81</v>
      </c>
      <c r="K19" s="1" t="s">
        <v>40</v>
      </c>
      <c r="L19" s="1">
        <v>0.9</v>
      </c>
      <c r="M19" s="1">
        <v>0.8</v>
      </c>
      <c r="N19" s="1">
        <v>0.71</v>
      </c>
      <c r="O19" s="1" t="s">
        <v>33</v>
      </c>
      <c r="P19" s="1">
        <v>0.73</v>
      </c>
      <c r="Q19" s="1">
        <v>0.71</v>
      </c>
      <c r="R19" s="1">
        <v>0.81</v>
      </c>
      <c r="S19" s="1">
        <v>0.72</v>
      </c>
      <c r="T19" s="1" t="s">
        <v>33</v>
      </c>
      <c r="U19" t="s">
        <v>84</v>
      </c>
      <c r="W19" s="1">
        <f>(H19+L19+P19+R19)/4</f>
        <v>0.81500000000000006</v>
      </c>
      <c r="X19" s="1">
        <f>(I19+M19+Q19+S19)/4</f>
        <v>0.74750000000000005</v>
      </c>
    </row>
    <row r="20" spans="1:37" x14ac:dyDescent="0.25">
      <c r="A20" t="s">
        <v>21</v>
      </c>
      <c r="B20" t="s">
        <v>85</v>
      </c>
      <c r="C20" t="s">
        <v>86</v>
      </c>
      <c r="D20" t="s">
        <v>82</v>
      </c>
      <c r="E20" t="s">
        <v>83</v>
      </c>
      <c r="F20" s="1" t="s">
        <v>28</v>
      </c>
      <c r="G20" s="1" t="s">
        <v>46</v>
      </c>
      <c r="H20" s="1">
        <v>0.79</v>
      </c>
      <c r="I20" s="1">
        <v>0.71</v>
      </c>
      <c r="J20" s="1">
        <v>0.8</v>
      </c>
      <c r="K20" s="1" t="s">
        <v>33</v>
      </c>
      <c r="L20" s="1">
        <v>0.82</v>
      </c>
      <c r="M20" s="1">
        <v>0.66</v>
      </c>
      <c r="N20" s="1">
        <v>0.87</v>
      </c>
      <c r="O20" s="1" t="s">
        <v>27</v>
      </c>
      <c r="P20" s="1">
        <v>0.65</v>
      </c>
      <c r="Q20" s="1">
        <v>0.63</v>
      </c>
      <c r="R20" s="1">
        <v>0.81</v>
      </c>
      <c r="S20" s="1">
        <v>0.72</v>
      </c>
      <c r="T20" s="1" t="s">
        <v>41</v>
      </c>
      <c r="U20" t="s">
        <v>87</v>
      </c>
      <c r="W20" s="1"/>
      <c r="X20" s="1"/>
    </row>
    <row r="21" spans="1:37" x14ac:dyDescent="0.25">
      <c r="A21" t="s">
        <v>21</v>
      </c>
      <c r="B21" t="s">
        <v>88</v>
      </c>
      <c r="C21" t="s">
        <v>89</v>
      </c>
      <c r="D21" t="s">
        <v>82</v>
      </c>
      <c r="E21" t="s">
        <v>83</v>
      </c>
      <c r="F21" s="1" t="s">
        <v>46</v>
      </c>
      <c r="G21" s="1" t="s">
        <v>54</v>
      </c>
      <c r="H21" s="1">
        <v>0.73</v>
      </c>
      <c r="I21" s="1">
        <v>0.6</v>
      </c>
      <c r="J21" s="1">
        <v>0.73</v>
      </c>
      <c r="K21" s="1" t="s">
        <v>59</v>
      </c>
      <c r="L21" s="1">
        <v>0.82</v>
      </c>
      <c r="M21" s="1">
        <v>0.68</v>
      </c>
      <c r="N21" s="1">
        <v>0.62</v>
      </c>
      <c r="O21" s="1" t="s">
        <v>59</v>
      </c>
      <c r="P21" s="1">
        <v>0.65</v>
      </c>
      <c r="Q21" s="1">
        <v>0.68</v>
      </c>
      <c r="R21" s="1">
        <v>0.67</v>
      </c>
      <c r="S21" s="1">
        <v>0.57999999999999996</v>
      </c>
      <c r="T21" s="1" t="s">
        <v>90</v>
      </c>
      <c r="U21" t="s">
        <v>91</v>
      </c>
      <c r="W21" s="1"/>
      <c r="X21" s="1"/>
    </row>
    <row r="22" spans="1:37" x14ac:dyDescent="0.25">
      <c r="A22" t="s">
        <v>21</v>
      </c>
      <c r="B22" t="s">
        <v>92</v>
      </c>
      <c r="C22" t="s">
        <v>93</v>
      </c>
      <c r="D22" t="s">
        <v>82</v>
      </c>
      <c r="E22" t="s">
        <v>83</v>
      </c>
      <c r="F22" s="1" t="s">
        <v>35</v>
      </c>
      <c r="G22" s="1" t="s">
        <v>90</v>
      </c>
      <c r="H22" s="1">
        <v>0.76</v>
      </c>
      <c r="I22" s="1">
        <v>0.61</v>
      </c>
      <c r="J22" s="1">
        <v>0.7</v>
      </c>
      <c r="K22" s="1" t="s">
        <v>90</v>
      </c>
      <c r="L22" s="1">
        <v>0.75</v>
      </c>
      <c r="M22" s="1">
        <v>0.68</v>
      </c>
      <c r="N22" s="1">
        <v>0.57999999999999996</v>
      </c>
      <c r="O22" s="1" t="s">
        <v>91</v>
      </c>
      <c r="P22" s="1">
        <v>0.65</v>
      </c>
      <c r="Q22" s="1">
        <v>0.66</v>
      </c>
      <c r="R22" s="1">
        <v>0.62</v>
      </c>
      <c r="S22" s="1">
        <v>0.54</v>
      </c>
      <c r="T22" s="1" t="s">
        <v>59</v>
      </c>
      <c r="U22" t="s">
        <v>60</v>
      </c>
      <c r="W22" s="1"/>
      <c r="X22" s="1"/>
    </row>
    <row r="23" spans="1:37" x14ac:dyDescent="0.25">
      <c r="A23" t="s">
        <v>21</v>
      </c>
      <c r="B23" t="s">
        <v>94</v>
      </c>
      <c r="C23" t="s">
        <v>95</v>
      </c>
      <c r="D23" t="s">
        <v>82</v>
      </c>
      <c r="E23" t="s">
        <v>83</v>
      </c>
      <c r="F23" s="1" t="s">
        <v>35</v>
      </c>
      <c r="G23" s="1" t="s">
        <v>76</v>
      </c>
      <c r="H23" s="1">
        <v>0.73</v>
      </c>
      <c r="I23" s="1">
        <v>0.56999999999999995</v>
      </c>
      <c r="J23" s="1">
        <v>0.68</v>
      </c>
      <c r="K23" s="1" t="s">
        <v>53</v>
      </c>
      <c r="L23" s="1">
        <v>0.76</v>
      </c>
      <c r="M23" s="1">
        <v>0.63</v>
      </c>
      <c r="N23" s="1">
        <v>0.57999999999999996</v>
      </c>
      <c r="O23" s="1" t="s">
        <v>55</v>
      </c>
      <c r="P23" s="1">
        <v>0.67</v>
      </c>
      <c r="Q23" s="1">
        <v>0.59</v>
      </c>
      <c r="R23" s="1">
        <v>0.66</v>
      </c>
      <c r="S23" s="1">
        <v>0.59</v>
      </c>
      <c r="T23" s="1" t="s">
        <v>49</v>
      </c>
      <c r="U23" t="s">
        <v>96</v>
      </c>
      <c r="W23" s="1"/>
      <c r="X23" s="1"/>
    </row>
    <row r="24" spans="1:37" x14ac:dyDescent="0.25"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37" x14ac:dyDescent="0.25">
      <c r="A25" t="s">
        <v>21</v>
      </c>
      <c r="B25" t="s">
        <v>97</v>
      </c>
      <c r="C25" t="s">
        <v>98</v>
      </c>
      <c r="D25" t="s">
        <v>99</v>
      </c>
      <c r="E25" t="s">
        <v>100</v>
      </c>
      <c r="F25" s="1" t="s">
        <v>45</v>
      </c>
      <c r="G25" s="1" t="s">
        <v>39</v>
      </c>
      <c r="H25" s="1">
        <v>0.92</v>
      </c>
      <c r="I25" s="1">
        <v>0.86</v>
      </c>
      <c r="J25" s="1">
        <v>0.86</v>
      </c>
      <c r="K25" s="1" t="s">
        <v>45</v>
      </c>
      <c r="L25" s="1">
        <v>0.78</v>
      </c>
      <c r="M25" s="1">
        <v>0.66</v>
      </c>
      <c r="N25" s="1">
        <v>0.68</v>
      </c>
      <c r="O25" s="1" t="s">
        <v>43</v>
      </c>
      <c r="P25" s="1">
        <v>0.65</v>
      </c>
      <c r="Q25" s="1">
        <v>0.57999999999999996</v>
      </c>
      <c r="R25" s="1">
        <v>0.8</v>
      </c>
      <c r="S25" s="1">
        <v>0.73</v>
      </c>
      <c r="T25" s="1" t="s">
        <v>90</v>
      </c>
      <c r="U25" t="s">
        <v>60</v>
      </c>
      <c r="W25" s="1">
        <f>(H25+L25+P25+R25)/4</f>
        <v>0.78750000000000009</v>
      </c>
      <c r="X25" s="1">
        <f>(I25+M25+Q25+S25)/4</f>
        <v>0.70750000000000002</v>
      </c>
    </row>
    <row r="26" spans="1:37" x14ac:dyDescent="0.25">
      <c r="A26" t="s">
        <v>21</v>
      </c>
      <c r="B26" t="s">
        <v>101</v>
      </c>
      <c r="C26" t="s">
        <v>102</v>
      </c>
      <c r="D26" t="s">
        <v>99</v>
      </c>
      <c r="E26" t="s">
        <v>100</v>
      </c>
      <c r="F26" s="1" t="s">
        <v>27</v>
      </c>
      <c r="G26" s="1" t="s">
        <v>47</v>
      </c>
      <c r="H26" s="1">
        <v>0.83</v>
      </c>
      <c r="I26" s="1">
        <v>0.65</v>
      </c>
      <c r="J26" s="1">
        <v>0.73</v>
      </c>
      <c r="K26" s="1" t="s">
        <v>47</v>
      </c>
      <c r="L26" s="1">
        <v>0.87</v>
      </c>
      <c r="M26" s="1">
        <v>0.84</v>
      </c>
      <c r="N26" s="1">
        <v>0.63</v>
      </c>
      <c r="O26" s="1" t="s">
        <v>77</v>
      </c>
      <c r="P26" s="1">
        <v>0.69</v>
      </c>
      <c r="Q26" s="1">
        <v>0.57999999999999996</v>
      </c>
      <c r="R26" s="1">
        <v>0.87</v>
      </c>
      <c r="S26" s="1">
        <v>0.82</v>
      </c>
      <c r="T26" s="1" t="s">
        <v>41</v>
      </c>
      <c r="U26" t="s">
        <v>55</v>
      </c>
    </row>
    <row r="27" spans="1:37" x14ac:dyDescent="0.25">
      <c r="A27" t="s">
        <v>21</v>
      </c>
      <c r="B27" t="s">
        <v>92</v>
      </c>
      <c r="C27" t="s">
        <v>98</v>
      </c>
      <c r="D27" t="s">
        <v>99</v>
      </c>
      <c r="E27" t="s">
        <v>100</v>
      </c>
      <c r="F27" s="1" t="s">
        <v>38</v>
      </c>
      <c r="G27" s="1" t="s">
        <v>46</v>
      </c>
      <c r="H27" s="1">
        <v>0.92</v>
      </c>
      <c r="I27" s="1">
        <v>0.86</v>
      </c>
      <c r="J27" s="1">
        <v>0.76</v>
      </c>
      <c r="K27" s="1" t="s">
        <v>43</v>
      </c>
      <c r="L27" s="1">
        <v>0.79</v>
      </c>
      <c r="M27" s="1">
        <v>0.75</v>
      </c>
      <c r="N27" s="1">
        <v>0.67</v>
      </c>
      <c r="O27" s="1" t="s">
        <v>76</v>
      </c>
      <c r="P27" s="1">
        <v>0.63</v>
      </c>
      <c r="Q27" s="1">
        <v>0.6</v>
      </c>
      <c r="R27" s="1">
        <v>0.8</v>
      </c>
      <c r="S27" s="1">
        <v>0.64</v>
      </c>
      <c r="T27" s="1" t="s">
        <v>77</v>
      </c>
      <c r="U27" t="s">
        <v>103</v>
      </c>
      <c r="W27" s="1"/>
      <c r="X27" s="1"/>
    </row>
    <row r="28" spans="1:37" x14ac:dyDescent="0.25">
      <c r="A28" t="s">
        <v>21</v>
      </c>
      <c r="B28" t="s">
        <v>104</v>
      </c>
      <c r="C28" t="s">
        <v>105</v>
      </c>
      <c r="D28" t="s">
        <v>99</v>
      </c>
      <c r="E28" t="s">
        <v>100</v>
      </c>
      <c r="F28" s="1" t="s">
        <v>29</v>
      </c>
      <c r="G28" s="1" t="s">
        <v>30</v>
      </c>
      <c r="H28" s="1">
        <v>0.89</v>
      </c>
      <c r="I28" s="1">
        <v>0.73</v>
      </c>
      <c r="J28" s="1">
        <v>0.71</v>
      </c>
      <c r="K28" s="1" t="s">
        <v>46</v>
      </c>
      <c r="L28" s="1">
        <v>0.71</v>
      </c>
      <c r="M28" s="1">
        <v>0.64</v>
      </c>
      <c r="N28" s="1">
        <v>0.61</v>
      </c>
      <c r="O28" s="1" t="s">
        <v>84</v>
      </c>
      <c r="P28" s="1">
        <v>0.77</v>
      </c>
      <c r="Q28" s="1">
        <v>0.73</v>
      </c>
      <c r="R28" s="1">
        <v>0.75</v>
      </c>
      <c r="S28" s="1">
        <v>0.61</v>
      </c>
      <c r="T28" s="1" t="s">
        <v>39</v>
      </c>
      <c r="U28" t="s">
        <v>84</v>
      </c>
      <c r="W28" s="1"/>
      <c r="X28" s="1"/>
    </row>
    <row r="29" spans="1:37" x14ac:dyDescent="0.25">
      <c r="A29" t="s">
        <v>21</v>
      </c>
      <c r="B29" t="s">
        <v>106</v>
      </c>
      <c r="C29" t="s">
        <v>98</v>
      </c>
      <c r="D29" t="s">
        <v>99</v>
      </c>
      <c r="E29" t="s">
        <v>100</v>
      </c>
      <c r="F29" s="1" t="s">
        <v>33</v>
      </c>
      <c r="G29" s="1" t="s">
        <v>41</v>
      </c>
      <c r="H29" s="1">
        <v>0.92</v>
      </c>
      <c r="I29" s="1">
        <v>0.86</v>
      </c>
      <c r="J29" s="1">
        <v>0.67</v>
      </c>
      <c r="K29" s="1" t="s">
        <v>35</v>
      </c>
      <c r="L29" s="1">
        <v>0.73</v>
      </c>
      <c r="M29" s="1">
        <v>0.66</v>
      </c>
      <c r="N29" s="1">
        <v>0.57999999999999996</v>
      </c>
      <c r="O29" s="1" t="s">
        <v>73</v>
      </c>
      <c r="P29" s="1">
        <v>0.63</v>
      </c>
      <c r="Q29" s="1">
        <v>0.64</v>
      </c>
      <c r="R29" s="1">
        <v>0.7</v>
      </c>
      <c r="S29" s="1">
        <v>0.59</v>
      </c>
      <c r="T29" s="1" t="s">
        <v>84</v>
      </c>
      <c r="U29" t="s">
        <v>107</v>
      </c>
      <c r="W29" s="1"/>
      <c r="X29" s="1"/>
    </row>
    <row r="31" spans="1:37" x14ac:dyDescent="0.25">
      <c r="C31" t="str">
        <f>C1</f>
        <v>Resume Title</v>
      </c>
      <c r="E31" t="str">
        <f>E1</f>
        <v>JobPost Title</v>
      </c>
      <c r="F31" t="s">
        <v>109</v>
      </c>
      <c r="G31" s="1" t="s">
        <v>108</v>
      </c>
      <c r="J31" t="str">
        <f>E32</f>
        <v xml:space="preserve">Automotive Technician Bronx NY </v>
      </c>
      <c r="K31" t="str">
        <f>E33</f>
        <v>Electrical Engineering Technician</v>
      </c>
      <c r="L31" t="str">
        <f>E34</f>
        <v xml:space="preserve">Bilingual Dental Assistant Spanish preferred </v>
      </c>
      <c r="M31" t="str">
        <f>E35</f>
        <v xml:space="preserve">Banking Professional Teller and Digital Banking Support </v>
      </c>
      <c r="N31" t="str">
        <f>E36</f>
        <v>Full Stack Web Developer</v>
      </c>
      <c r="U31" t="s">
        <v>25</v>
      </c>
      <c r="V31" t="s">
        <v>51</v>
      </c>
      <c r="W31" t="s">
        <v>71</v>
      </c>
      <c r="X31" t="s">
        <v>83</v>
      </c>
      <c r="Y31" t="s">
        <v>100</v>
      </c>
      <c r="AG31" t="s">
        <v>25</v>
      </c>
      <c r="AH31" t="s">
        <v>51</v>
      </c>
      <c r="AI31" t="s">
        <v>71</v>
      </c>
      <c r="AJ31" t="s">
        <v>83</v>
      </c>
      <c r="AK31" t="s">
        <v>100</v>
      </c>
    </row>
    <row r="32" spans="1:37" x14ac:dyDescent="0.25">
      <c r="C32" t="str">
        <f>C2</f>
        <v>Automotive Technician Mechanic</v>
      </c>
      <c r="E32" t="str">
        <f>E2</f>
        <v xml:space="preserve">Automotive Technician Bronx NY </v>
      </c>
      <c r="F32" s="2">
        <f>0.85</f>
        <v>0.85</v>
      </c>
      <c r="G32">
        <v>0.77</v>
      </c>
      <c r="I32" s="3">
        <v>1</v>
      </c>
      <c r="J32">
        <f>0.85</f>
        <v>0.85</v>
      </c>
      <c r="K32">
        <v>0.81</v>
      </c>
      <c r="L32">
        <v>0.8</v>
      </c>
      <c r="M32">
        <v>0.8</v>
      </c>
      <c r="N32">
        <v>0.78</v>
      </c>
      <c r="T32">
        <v>1</v>
      </c>
      <c r="U32" s="1">
        <v>0.74</v>
      </c>
      <c r="V32" s="1">
        <v>0.76</v>
      </c>
      <c r="W32" s="1">
        <v>0.8</v>
      </c>
      <c r="X32" s="1">
        <v>0.81</v>
      </c>
      <c r="Y32" s="1">
        <v>0.86</v>
      </c>
      <c r="AF32">
        <v>1</v>
      </c>
      <c r="AG32" s="1">
        <v>0.88</v>
      </c>
      <c r="AH32" s="1">
        <v>0.68</v>
      </c>
      <c r="AI32" s="1">
        <v>0.61</v>
      </c>
      <c r="AJ32" s="1">
        <v>0.71</v>
      </c>
      <c r="AK32" s="1">
        <v>0.68</v>
      </c>
    </row>
    <row r="33" spans="3:37" x14ac:dyDescent="0.25">
      <c r="C33" t="str">
        <f>C8</f>
        <v>Electrical Engineering Technician</v>
      </c>
      <c r="E33" t="str">
        <f>E8</f>
        <v>Electrical Engineering Technician</v>
      </c>
      <c r="F33" s="1">
        <f>0.81</f>
        <v>0.81</v>
      </c>
      <c r="G33">
        <v>0.77</v>
      </c>
      <c r="I33" s="3">
        <v>2</v>
      </c>
      <c r="J33">
        <v>0.82</v>
      </c>
      <c r="K33">
        <v>0.81</v>
      </c>
      <c r="L33">
        <v>0.77</v>
      </c>
      <c r="M33">
        <v>0.79</v>
      </c>
      <c r="N33">
        <v>0.77</v>
      </c>
      <c r="T33">
        <v>2</v>
      </c>
      <c r="U33" s="1">
        <v>0.76</v>
      </c>
      <c r="V33" s="1">
        <v>0.79</v>
      </c>
      <c r="W33" s="1">
        <v>0.76</v>
      </c>
      <c r="X33" s="1">
        <v>0.8</v>
      </c>
      <c r="Y33" s="1">
        <v>0.73</v>
      </c>
      <c r="AF33">
        <v>2</v>
      </c>
      <c r="AG33" s="1">
        <v>0.74</v>
      </c>
      <c r="AH33" s="1">
        <v>0.84</v>
      </c>
      <c r="AI33" s="1">
        <v>0.54</v>
      </c>
      <c r="AJ33" s="1">
        <v>0.87</v>
      </c>
      <c r="AK33" s="1">
        <v>0.63</v>
      </c>
    </row>
    <row r="34" spans="3:37" x14ac:dyDescent="0.25">
      <c r="C34" t="str">
        <f>C14</f>
        <v>Dental Assistant</v>
      </c>
      <c r="E34" t="str">
        <f>E14</f>
        <v xml:space="preserve">Bilingual Dental Assistant Spanish preferred </v>
      </c>
      <c r="F34" s="1">
        <v>0.8</v>
      </c>
      <c r="G34">
        <v>0.78</v>
      </c>
      <c r="I34" s="3">
        <v>3</v>
      </c>
      <c r="J34">
        <v>0.8</v>
      </c>
      <c r="K34">
        <v>0.79</v>
      </c>
      <c r="L34">
        <v>0.76</v>
      </c>
      <c r="M34">
        <v>0.7</v>
      </c>
      <c r="N34">
        <v>0.76</v>
      </c>
      <c r="T34">
        <v>3</v>
      </c>
      <c r="U34" s="1">
        <v>0.8</v>
      </c>
      <c r="V34" s="1">
        <v>0.73</v>
      </c>
      <c r="W34" s="1">
        <v>0.64</v>
      </c>
      <c r="X34" s="1">
        <v>0.73</v>
      </c>
      <c r="Y34" s="1">
        <v>0.76</v>
      </c>
      <c r="AF34">
        <v>3</v>
      </c>
      <c r="AG34" s="1">
        <v>0.72</v>
      </c>
      <c r="AH34" s="1">
        <v>0.77</v>
      </c>
      <c r="AI34" s="1">
        <v>0.63</v>
      </c>
      <c r="AJ34" s="1">
        <v>0.62</v>
      </c>
      <c r="AK34" s="1">
        <v>0.67</v>
      </c>
    </row>
    <row r="35" spans="3:37" x14ac:dyDescent="0.25">
      <c r="C35" t="str">
        <f>C19</f>
        <v>Professional Banker</v>
      </c>
      <c r="E35" t="str">
        <f>E19</f>
        <v xml:space="preserve">Banking Professional Teller and Digital Banking Support </v>
      </c>
      <c r="F35" s="1">
        <v>0.8</v>
      </c>
      <c r="G35">
        <v>0.74</v>
      </c>
      <c r="I35" s="3">
        <v>4</v>
      </c>
      <c r="J35">
        <v>0.8</v>
      </c>
      <c r="K35">
        <v>0.79</v>
      </c>
      <c r="L35">
        <v>0.73</v>
      </c>
      <c r="M35">
        <v>0.68</v>
      </c>
      <c r="N35">
        <v>0.74</v>
      </c>
      <c r="T35">
        <v>4</v>
      </c>
      <c r="U35" s="1">
        <v>0.78</v>
      </c>
      <c r="V35" s="1">
        <v>0.7</v>
      </c>
      <c r="W35" s="1">
        <v>0.68</v>
      </c>
      <c r="X35" s="1">
        <v>0.7</v>
      </c>
      <c r="Y35" s="1">
        <v>0.71</v>
      </c>
      <c r="AF35">
        <v>4</v>
      </c>
      <c r="AG35" s="1">
        <v>0.71</v>
      </c>
      <c r="AH35" s="1">
        <v>0.7</v>
      </c>
      <c r="AI35" s="1">
        <v>0.59</v>
      </c>
      <c r="AJ35" s="1">
        <v>0.57999999999999996</v>
      </c>
      <c r="AK35" s="1">
        <v>0.61</v>
      </c>
    </row>
    <row r="36" spans="3:37" x14ac:dyDescent="0.25">
      <c r="C36" t="str">
        <f>C25</f>
        <v>Web Developer</v>
      </c>
      <c r="E36" t="str">
        <f>E25</f>
        <v>Full Stack Web Developer</v>
      </c>
      <c r="F36" s="1">
        <v>0.78</v>
      </c>
      <c r="G36">
        <v>0.72</v>
      </c>
      <c r="H36">
        <v>1</v>
      </c>
      <c r="U36" s="1"/>
      <c r="V36" s="1"/>
      <c r="X36" s="1"/>
      <c r="Y36" s="1"/>
      <c r="AG36" s="1"/>
      <c r="AH36" s="1"/>
      <c r="AJ36" s="1"/>
      <c r="AK36" s="1"/>
    </row>
    <row r="37" spans="3:37" x14ac:dyDescent="0.25">
      <c r="F37" s="2"/>
      <c r="H37">
        <v>2</v>
      </c>
    </row>
    <row r="38" spans="3:37" x14ac:dyDescent="0.25">
      <c r="F38" s="2"/>
      <c r="G38">
        <v>1</v>
      </c>
      <c r="H38">
        <v>3</v>
      </c>
    </row>
    <row r="39" spans="3:37" x14ac:dyDescent="0.25">
      <c r="G39">
        <v>2</v>
      </c>
      <c r="H39">
        <v>4</v>
      </c>
    </row>
    <row r="40" spans="3:37" x14ac:dyDescent="0.25">
      <c r="G40">
        <v>3</v>
      </c>
      <c r="H40">
        <v>5</v>
      </c>
    </row>
    <row r="41" spans="3:37" x14ac:dyDescent="0.25">
      <c r="G41">
        <v>4</v>
      </c>
      <c r="H41">
        <v>6</v>
      </c>
    </row>
    <row r="42" spans="3:37" x14ac:dyDescent="0.25">
      <c r="G42">
        <v>5</v>
      </c>
      <c r="H42">
        <v>7</v>
      </c>
    </row>
    <row r="43" spans="3:37" x14ac:dyDescent="0.25">
      <c r="G43">
        <v>6</v>
      </c>
      <c r="H43">
        <v>8</v>
      </c>
    </row>
    <row r="44" spans="3:37" x14ac:dyDescent="0.25">
      <c r="G44">
        <v>7</v>
      </c>
      <c r="H44">
        <v>9</v>
      </c>
    </row>
    <row r="45" spans="3:37" x14ac:dyDescent="0.25">
      <c r="G45">
        <v>8</v>
      </c>
      <c r="H45">
        <v>10</v>
      </c>
    </row>
    <row r="46" spans="3:37" x14ac:dyDescent="0.25">
      <c r="G46">
        <v>9</v>
      </c>
      <c r="H46">
        <v>11</v>
      </c>
    </row>
    <row r="47" spans="3:37" x14ac:dyDescent="0.25">
      <c r="G47">
        <v>10</v>
      </c>
      <c r="H47">
        <v>12</v>
      </c>
    </row>
    <row r="48" spans="3:37" x14ac:dyDescent="0.25">
      <c r="G48">
        <v>11</v>
      </c>
      <c r="H48">
        <v>13</v>
      </c>
    </row>
    <row r="49" spans="3:25" x14ac:dyDescent="0.25">
      <c r="G49">
        <v>12</v>
      </c>
      <c r="H49">
        <v>14</v>
      </c>
    </row>
    <row r="50" spans="3:25" x14ac:dyDescent="0.25">
      <c r="G50">
        <v>13</v>
      </c>
      <c r="H50">
        <v>15</v>
      </c>
    </row>
    <row r="51" spans="3:25" x14ac:dyDescent="0.25">
      <c r="G51">
        <v>14</v>
      </c>
      <c r="H51">
        <v>16</v>
      </c>
    </row>
    <row r="52" spans="3:25" x14ac:dyDescent="0.25">
      <c r="G52">
        <v>15</v>
      </c>
    </row>
    <row r="53" spans="3:25" x14ac:dyDescent="0.25">
      <c r="G53">
        <v>16</v>
      </c>
      <c r="I53" t="s">
        <v>110</v>
      </c>
      <c r="J53" t="s">
        <v>25</v>
      </c>
      <c r="K53" t="s">
        <v>51</v>
      </c>
      <c r="L53" t="s">
        <v>71</v>
      </c>
      <c r="M53" t="s">
        <v>83</v>
      </c>
      <c r="N53" t="s">
        <v>100</v>
      </c>
      <c r="U53" t="s">
        <v>25</v>
      </c>
      <c r="V53" t="s">
        <v>51</v>
      </c>
      <c r="W53" t="s">
        <v>71</v>
      </c>
      <c r="X53" t="s">
        <v>83</v>
      </c>
      <c r="Y53" t="s">
        <v>100</v>
      </c>
    </row>
    <row r="54" spans="3:25" x14ac:dyDescent="0.25">
      <c r="G54">
        <v>17</v>
      </c>
      <c r="I54">
        <v>1</v>
      </c>
      <c r="J54" s="4">
        <v>0.9</v>
      </c>
      <c r="K54" s="1">
        <v>1</v>
      </c>
      <c r="L54" s="1">
        <v>0.83</v>
      </c>
      <c r="M54" s="1">
        <v>0.82</v>
      </c>
      <c r="N54" s="1">
        <v>0.92</v>
      </c>
      <c r="T54">
        <v>1</v>
      </c>
      <c r="U54" s="1">
        <v>0.9</v>
      </c>
      <c r="V54" s="1">
        <v>0.79</v>
      </c>
      <c r="W54" s="1">
        <v>0.84</v>
      </c>
      <c r="X54" s="1">
        <v>0.9</v>
      </c>
      <c r="Y54" s="1">
        <v>0.78</v>
      </c>
    </row>
    <row r="55" spans="3:25" x14ac:dyDescent="0.25">
      <c r="G55">
        <v>18</v>
      </c>
      <c r="I55">
        <v>2</v>
      </c>
      <c r="J55" s="4">
        <v>0.9</v>
      </c>
      <c r="K55" s="1">
        <v>0.95</v>
      </c>
      <c r="L55" s="1">
        <v>0.83</v>
      </c>
      <c r="M55" s="1">
        <v>0.79</v>
      </c>
      <c r="N55" s="1">
        <v>0.83</v>
      </c>
      <c r="T55">
        <v>2</v>
      </c>
      <c r="U55" s="1">
        <v>0.87</v>
      </c>
      <c r="V55" s="1">
        <v>0.78</v>
      </c>
      <c r="W55" s="1">
        <v>0.88</v>
      </c>
      <c r="X55" s="1">
        <v>0.82</v>
      </c>
      <c r="Y55" s="1">
        <v>0.87</v>
      </c>
    </row>
    <row r="56" spans="3:25" x14ac:dyDescent="0.25">
      <c r="G56">
        <v>19</v>
      </c>
      <c r="I56">
        <v>3</v>
      </c>
      <c r="J56" s="4">
        <v>0.9</v>
      </c>
      <c r="K56" s="1">
        <v>1</v>
      </c>
      <c r="L56" s="1">
        <v>0.83</v>
      </c>
      <c r="M56" s="1">
        <v>0.73</v>
      </c>
      <c r="N56" s="1">
        <v>0.92</v>
      </c>
      <c r="T56">
        <v>3</v>
      </c>
      <c r="U56" s="1">
        <v>0.83</v>
      </c>
      <c r="V56" s="1">
        <v>0.75</v>
      </c>
      <c r="W56" s="1">
        <v>0.8</v>
      </c>
      <c r="X56" s="1">
        <v>0.82</v>
      </c>
      <c r="Y56" s="1">
        <v>0.79</v>
      </c>
    </row>
    <row r="57" spans="3:25" x14ac:dyDescent="0.25">
      <c r="D57" t="s">
        <v>111</v>
      </c>
      <c r="E57" t="s">
        <v>112</v>
      </c>
      <c r="I57">
        <v>4</v>
      </c>
      <c r="J57" s="4">
        <v>0.9</v>
      </c>
      <c r="K57" s="1">
        <v>1</v>
      </c>
      <c r="L57" s="1">
        <v>0.76</v>
      </c>
      <c r="M57" s="1">
        <v>0.76</v>
      </c>
      <c r="N57" s="1">
        <v>0.89</v>
      </c>
      <c r="T57">
        <v>4</v>
      </c>
      <c r="U57" s="1">
        <v>0.9</v>
      </c>
      <c r="V57" s="1">
        <v>0.79</v>
      </c>
      <c r="W57" s="1">
        <v>0.82</v>
      </c>
      <c r="X57" s="1">
        <v>0.75</v>
      </c>
      <c r="Y57" s="1">
        <v>0.71</v>
      </c>
    </row>
    <row r="58" spans="3:25" x14ac:dyDescent="0.25">
      <c r="C58" t="s">
        <v>25</v>
      </c>
      <c r="D58" s="1">
        <f>W2</f>
        <v>0.87249999999999994</v>
      </c>
      <c r="E58" s="1">
        <f>X2</f>
        <v>0.78999999999999992</v>
      </c>
      <c r="H58">
        <v>1</v>
      </c>
      <c r="M58" s="1"/>
      <c r="N58" s="1"/>
      <c r="U58" s="1"/>
      <c r="V58" s="1"/>
      <c r="X58" s="1"/>
      <c r="Y58" s="1"/>
    </row>
    <row r="59" spans="3:25" x14ac:dyDescent="0.25">
      <c r="C59" t="s">
        <v>51</v>
      </c>
      <c r="D59" s="1">
        <f>W8</f>
        <v>0.8600000000000001</v>
      </c>
      <c r="E59" s="1">
        <f>X8</f>
        <v>0.7975000000000001</v>
      </c>
      <c r="G59" s="1"/>
      <c r="H59">
        <v>2</v>
      </c>
    </row>
    <row r="60" spans="3:25" x14ac:dyDescent="0.25">
      <c r="C60" t="s">
        <v>71</v>
      </c>
      <c r="D60" s="1">
        <f>W14</f>
        <v>0.85</v>
      </c>
      <c r="E60" s="2">
        <f>X14</f>
        <v>0.82000000000000006</v>
      </c>
      <c r="H60">
        <v>3</v>
      </c>
    </row>
    <row r="61" spans="3:25" x14ac:dyDescent="0.25">
      <c r="C61" t="s">
        <v>83</v>
      </c>
      <c r="D61" s="1">
        <f>W19</f>
        <v>0.81500000000000006</v>
      </c>
      <c r="E61" s="1">
        <f>X19</f>
        <v>0.74750000000000005</v>
      </c>
      <c r="H61">
        <v>4</v>
      </c>
    </row>
    <row r="62" spans="3:25" x14ac:dyDescent="0.25">
      <c r="C62" t="s">
        <v>100</v>
      </c>
      <c r="D62" s="1">
        <f>W25</f>
        <v>0.78750000000000009</v>
      </c>
      <c r="E62" s="1">
        <f>X25</f>
        <v>0.70750000000000002</v>
      </c>
      <c r="H62">
        <v>5</v>
      </c>
    </row>
    <row r="63" spans="3:25" x14ac:dyDescent="0.25">
      <c r="F63" s="1"/>
      <c r="H63">
        <v>6</v>
      </c>
    </row>
    <row r="64" spans="3:25" x14ac:dyDescent="0.25">
      <c r="F64" s="1"/>
      <c r="G64">
        <v>1</v>
      </c>
      <c r="H64">
        <v>7</v>
      </c>
    </row>
    <row r="65" spans="7:8" x14ac:dyDescent="0.25">
      <c r="G65">
        <v>2</v>
      </c>
      <c r="H65">
        <v>8</v>
      </c>
    </row>
    <row r="66" spans="7:8" x14ac:dyDescent="0.25">
      <c r="G66">
        <v>3</v>
      </c>
      <c r="H66">
        <v>9</v>
      </c>
    </row>
    <row r="67" spans="7:8" x14ac:dyDescent="0.25">
      <c r="G67">
        <v>4</v>
      </c>
      <c r="H67">
        <v>10</v>
      </c>
    </row>
    <row r="68" spans="7:8" x14ac:dyDescent="0.25">
      <c r="G68">
        <v>5</v>
      </c>
      <c r="H68">
        <v>11</v>
      </c>
    </row>
    <row r="69" spans="7:8" x14ac:dyDescent="0.25">
      <c r="G69">
        <v>6</v>
      </c>
      <c r="H69">
        <v>12</v>
      </c>
    </row>
    <row r="70" spans="7:8" x14ac:dyDescent="0.25">
      <c r="G70">
        <v>7</v>
      </c>
      <c r="H70">
        <v>13</v>
      </c>
    </row>
    <row r="71" spans="7:8" x14ac:dyDescent="0.25">
      <c r="G71">
        <v>8</v>
      </c>
      <c r="H71">
        <v>14</v>
      </c>
    </row>
    <row r="72" spans="7:8" x14ac:dyDescent="0.25">
      <c r="G72">
        <v>9</v>
      </c>
      <c r="H72">
        <v>15</v>
      </c>
    </row>
    <row r="73" spans="7:8" x14ac:dyDescent="0.25">
      <c r="G73">
        <v>10</v>
      </c>
      <c r="H73">
        <v>16</v>
      </c>
    </row>
    <row r="74" spans="7:8" x14ac:dyDescent="0.25">
      <c r="G74">
        <v>11</v>
      </c>
    </row>
    <row r="75" spans="7:8" x14ac:dyDescent="0.25">
      <c r="G75">
        <v>12</v>
      </c>
    </row>
    <row r="76" spans="7:8" x14ac:dyDescent="0.25">
      <c r="G76">
        <v>13</v>
      </c>
    </row>
    <row r="77" spans="7:8" x14ac:dyDescent="0.25">
      <c r="G77">
        <v>14</v>
      </c>
    </row>
    <row r="78" spans="7:8" x14ac:dyDescent="0.25">
      <c r="G78">
        <v>15</v>
      </c>
    </row>
    <row r="79" spans="7:8" x14ac:dyDescent="0.25">
      <c r="G79">
        <v>16</v>
      </c>
    </row>
    <row r="80" spans="7:8" x14ac:dyDescent="0.25">
      <c r="G80">
        <v>17</v>
      </c>
    </row>
    <row r="81" spans="2:17" x14ac:dyDescent="0.25">
      <c r="G81">
        <v>18</v>
      </c>
    </row>
    <row r="82" spans="2:17" x14ac:dyDescent="0.25">
      <c r="G82">
        <v>19</v>
      </c>
    </row>
    <row r="87" spans="2:17" x14ac:dyDescent="0.25">
      <c r="C87" s="5" t="s">
        <v>5</v>
      </c>
      <c r="D87" t="s">
        <v>6</v>
      </c>
      <c r="H87" s="5" t="s">
        <v>5</v>
      </c>
      <c r="I87" t="s">
        <v>6</v>
      </c>
      <c r="P87" s="5" t="s">
        <v>5</v>
      </c>
      <c r="Q87" t="s">
        <v>6</v>
      </c>
    </row>
    <row r="88" spans="2:17" x14ac:dyDescent="0.25">
      <c r="B88" t="s">
        <v>113</v>
      </c>
      <c r="C88" s="1">
        <v>0.85</v>
      </c>
      <c r="D88" s="1">
        <v>0.77</v>
      </c>
      <c r="G88" t="s">
        <v>118</v>
      </c>
      <c r="H88" s="1">
        <v>0.81</v>
      </c>
      <c r="I88" s="1">
        <v>0.77</v>
      </c>
      <c r="O88" t="s">
        <v>123</v>
      </c>
      <c r="P88" s="1">
        <v>0.8</v>
      </c>
      <c r="Q88" s="1">
        <v>0.78</v>
      </c>
    </row>
    <row r="89" spans="2:17" x14ac:dyDescent="0.25">
      <c r="B89" t="s">
        <v>114</v>
      </c>
      <c r="C89" s="1">
        <v>0.82</v>
      </c>
      <c r="D89" s="1">
        <v>0.76</v>
      </c>
      <c r="G89" t="s">
        <v>119</v>
      </c>
      <c r="H89" s="1">
        <v>0.81</v>
      </c>
      <c r="I89" s="1">
        <v>0.79</v>
      </c>
      <c r="O89" t="s">
        <v>124</v>
      </c>
      <c r="P89" s="1">
        <v>0.77</v>
      </c>
      <c r="Q89" s="1">
        <v>0.71</v>
      </c>
    </row>
    <row r="90" spans="2:17" x14ac:dyDescent="0.25">
      <c r="B90" t="s">
        <v>115</v>
      </c>
      <c r="C90" s="1">
        <v>0.8</v>
      </c>
      <c r="D90" s="1">
        <v>0.76</v>
      </c>
      <c r="G90" t="s">
        <v>120</v>
      </c>
      <c r="H90" s="1">
        <v>0.79</v>
      </c>
      <c r="I90" s="1">
        <v>0.73</v>
      </c>
      <c r="O90" t="s">
        <v>125</v>
      </c>
      <c r="P90" s="1">
        <v>0.76</v>
      </c>
      <c r="Q90" s="1">
        <v>0.68</v>
      </c>
    </row>
    <row r="91" spans="2:17" x14ac:dyDescent="0.25">
      <c r="B91" t="s">
        <v>116</v>
      </c>
      <c r="C91" s="1">
        <v>0.8</v>
      </c>
      <c r="D91" s="1">
        <v>0.74</v>
      </c>
      <c r="G91" t="s">
        <v>121</v>
      </c>
      <c r="H91" s="1">
        <v>0.79</v>
      </c>
      <c r="I91" s="1">
        <v>0.71</v>
      </c>
      <c r="O91" t="s">
        <v>126</v>
      </c>
      <c r="P91" s="1">
        <v>0.73</v>
      </c>
      <c r="Q91" s="1">
        <v>0.7</v>
      </c>
    </row>
    <row r="92" spans="2:17" x14ac:dyDescent="0.25">
      <c r="B92" t="s">
        <v>117</v>
      </c>
      <c r="C92" s="1">
        <v>0.8</v>
      </c>
      <c r="D92" s="1">
        <v>0.75</v>
      </c>
      <c r="G92" t="s">
        <v>122</v>
      </c>
      <c r="H92" s="1">
        <v>0.74</v>
      </c>
      <c r="I92" s="1">
        <v>0.61</v>
      </c>
    </row>
    <row r="114" spans="2:9" x14ac:dyDescent="0.25">
      <c r="C114" s="5" t="s">
        <v>5</v>
      </c>
      <c r="D114" t="s">
        <v>6</v>
      </c>
      <c r="H114" s="5" t="s">
        <v>5</v>
      </c>
      <c r="I114" t="s">
        <v>6</v>
      </c>
    </row>
    <row r="115" spans="2:9" x14ac:dyDescent="0.25">
      <c r="B115" t="s">
        <v>127</v>
      </c>
      <c r="C115" s="1">
        <v>0.8</v>
      </c>
      <c r="D115" s="1">
        <v>0.74</v>
      </c>
      <c r="G115" t="s">
        <v>132</v>
      </c>
      <c r="H115" s="1">
        <v>0.78</v>
      </c>
      <c r="I115" s="1">
        <v>0.72</v>
      </c>
    </row>
    <row r="116" spans="2:9" x14ac:dyDescent="0.25">
      <c r="B116" t="s">
        <v>128</v>
      </c>
      <c r="C116" s="1">
        <v>0.79</v>
      </c>
      <c r="D116" s="1">
        <v>0.7</v>
      </c>
      <c r="G116" t="s">
        <v>133</v>
      </c>
      <c r="H116" s="1">
        <v>0.77</v>
      </c>
      <c r="I116" s="1">
        <v>0.69</v>
      </c>
    </row>
    <row r="117" spans="2:9" x14ac:dyDescent="0.25">
      <c r="B117" t="s">
        <v>129</v>
      </c>
      <c r="C117" s="1">
        <v>0.7</v>
      </c>
      <c r="D117" s="1">
        <v>0.63</v>
      </c>
      <c r="G117" t="s">
        <v>130</v>
      </c>
      <c r="H117" s="1">
        <v>0.76</v>
      </c>
      <c r="I117" s="1">
        <v>0.7</v>
      </c>
    </row>
    <row r="118" spans="2:9" x14ac:dyDescent="0.25">
      <c r="B118" t="s">
        <v>130</v>
      </c>
      <c r="C118" s="1">
        <v>0.68</v>
      </c>
      <c r="D118" s="1">
        <v>0.6</v>
      </c>
      <c r="G118" t="s">
        <v>134</v>
      </c>
      <c r="H118" s="1">
        <v>0.74</v>
      </c>
      <c r="I118" s="1">
        <v>0.67</v>
      </c>
    </row>
    <row r="119" spans="2:9" x14ac:dyDescent="0.25">
      <c r="B119" t="s">
        <v>131</v>
      </c>
      <c r="C119" s="1">
        <v>0.68</v>
      </c>
      <c r="D119" s="1">
        <v>0.59</v>
      </c>
      <c r="G119" t="s">
        <v>135</v>
      </c>
      <c r="H119" s="1">
        <v>0.71</v>
      </c>
      <c r="I119" s="1">
        <v>0.66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jobPost-to-resumes.xlsx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Panagiotis Skondras</cp:lastModifiedBy>
  <dcterms:created xsi:type="dcterms:W3CDTF">2025-10-21T13:00:33Z</dcterms:created>
  <dcterms:modified xsi:type="dcterms:W3CDTF">2025-11-04T07:39:52Z</dcterms:modified>
</cp:coreProperties>
</file>