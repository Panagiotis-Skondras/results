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hd-papers\paper-4\results\Intellij\"/>
    </mc:Choice>
  </mc:AlternateContent>
  <xr:revisionPtr revIDLastSave="0" documentId="13_ncr:1_{D3F4EDF3-DE59-4F9B-938E-364376B1A05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resume-to-jobPosts.xlsx" sheetId="1" r:id="rId1"/>
  </sheets>
  <calcPr calcId="191029"/>
</workbook>
</file>

<file path=xl/calcChain.xml><?xml version="1.0" encoding="utf-8"?>
<calcChain xmlns="http://schemas.openxmlformats.org/spreadsheetml/2006/main">
  <c r="W29" i="1" l="1"/>
  <c r="D84" i="1" s="1"/>
  <c r="W13" i="1"/>
  <c r="E58" i="1"/>
  <c r="E86" i="1"/>
  <c r="E85" i="1"/>
  <c r="E84" i="1"/>
  <c r="E83" i="1"/>
  <c r="E82" i="1"/>
  <c r="E81" i="1"/>
  <c r="D86" i="1"/>
  <c r="D85" i="1"/>
  <c r="D83" i="1"/>
  <c r="D82" i="1"/>
  <c r="D81" i="1"/>
  <c r="E59" i="1"/>
  <c r="E57" i="1"/>
  <c r="E56" i="1"/>
  <c r="E55" i="1"/>
  <c r="E54" i="1"/>
  <c r="D59" i="1"/>
  <c r="D58" i="1"/>
  <c r="D57" i="1"/>
  <c r="D56" i="1"/>
  <c r="D55" i="1"/>
  <c r="D54" i="1"/>
  <c r="X45" i="1"/>
  <c r="X37" i="1"/>
  <c r="X29" i="1"/>
  <c r="X21" i="1"/>
  <c r="W45" i="1"/>
  <c r="W37" i="1"/>
  <c r="W21" i="1"/>
  <c r="X13" i="1"/>
  <c r="X2" i="1"/>
  <c r="W2" i="1"/>
</calcChain>
</file>

<file path=xl/sharedStrings.xml><?xml version="1.0" encoding="utf-8"?>
<sst xmlns="http://schemas.openxmlformats.org/spreadsheetml/2006/main" count="601" uniqueCount="207">
  <si>
    <t>Match action</t>
  </si>
  <si>
    <t>ResumeId</t>
  </si>
  <si>
    <t>Resume Title</t>
  </si>
  <si>
    <t>JobPostId</t>
  </si>
  <si>
    <t>JobPost Title</t>
  </si>
  <si>
    <t>Gemma Overall</t>
  </si>
  <si>
    <t>Nomic Overall</t>
  </si>
  <si>
    <t>Gemma Title</t>
  </si>
  <si>
    <t>Nomic Title</t>
  </si>
  <si>
    <t>Gemma Desc</t>
  </si>
  <si>
    <t>Nomic Desc</t>
  </si>
  <si>
    <t>Gemma Resp</t>
  </si>
  <si>
    <t>Nomic Resp</t>
  </si>
  <si>
    <t>Gemma Edu</t>
  </si>
  <si>
    <t>Nomic Edu</t>
  </si>
  <si>
    <t>Gemma Exp</t>
  </si>
  <si>
    <t>Nomic Exp</t>
  </si>
  <si>
    <t>Gemma Skills</t>
  </si>
  <si>
    <t>Nomic Skills</t>
  </si>
  <si>
    <t>Gemma AddInfo</t>
  </si>
  <si>
    <t>Nomic AddInfo</t>
  </si>
  <si>
    <t>RESUME_TO_JOB_POSTS</t>
  </si>
  <si>
    <t>958</t>
  </si>
  <si>
    <t>Lawyer</t>
  </si>
  <si>
    <t>823</t>
  </si>
  <si>
    <t>Lawyer with Court Experience</t>
  </si>
  <si>
    <t>0.7</t>
  </si>
  <si>
    <t>0.65</t>
  </si>
  <si>
    <t>0.78</t>
  </si>
  <si>
    <t>0.73</t>
  </si>
  <si>
    <t>0.63</t>
  </si>
  <si>
    <t>0.75</t>
  </si>
  <si>
    <t>0.68</t>
  </si>
  <si>
    <t>0.62</t>
  </si>
  <si>
    <t>0.6</t>
  </si>
  <si>
    <t>0.66</t>
  </si>
  <si>
    <t>0.61</t>
  </si>
  <si>
    <t>0.54</t>
  </si>
  <si>
    <t>234</t>
  </si>
  <si>
    <t>Lawyer Real Estate Specialization</t>
  </si>
  <si>
    <t>0.69</t>
  </si>
  <si>
    <t>0.64</t>
  </si>
  <si>
    <t>0.67</t>
  </si>
  <si>
    <t>0.59</t>
  </si>
  <si>
    <t>0.55</t>
  </si>
  <si>
    <t>0.57</t>
  </si>
  <si>
    <t>0.56</t>
  </si>
  <si>
    <t>541</t>
  </si>
  <si>
    <t>Legal Counsel Data Protection</t>
  </si>
  <si>
    <t>0.8</t>
  </si>
  <si>
    <t>0.76</t>
  </si>
  <si>
    <t>177</t>
  </si>
  <si>
    <t>0.79</t>
  </si>
  <si>
    <t>0.71</t>
  </si>
  <si>
    <t>0.53</t>
  </si>
  <si>
    <t>0.58</t>
  </si>
  <si>
    <t>355</t>
  </si>
  <si>
    <t>Lawyer Kolonaki Area</t>
  </si>
  <si>
    <t>628</t>
  </si>
  <si>
    <t xml:space="preserve">Lawyer Industrial Property Associate </t>
  </si>
  <si>
    <t>0.51</t>
  </si>
  <si>
    <t>0.52</t>
  </si>
  <si>
    <t>470</t>
  </si>
  <si>
    <t>Associate Lawyer</t>
  </si>
  <si>
    <t>0.77</t>
  </si>
  <si>
    <t>0.47</t>
  </si>
  <si>
    <t>846</t>
  </si>
  <si>
    <t xml:space="preserve">Lawyer Junior Associate Intellectual Industrial Property and Commercial Law </t>
  </si>
  <si>
    <t>0.5</t>
  </si>
  <si>
    <t>75</t>
  </si>
  <si>
    <t xml:space="preserve">Lawyer s Position Legal Assistant </t>
  </si>
  <si>
    <t>0.72</t>
  </si>
  <si>
    <t>233</t>
  </si>
  <si>
    <t>Lawyer Samos</t>
  </si>
  <si>
    <t>935</t>
  </si>
  <si>
    <t>Civil Engineer</t>
  </si>
  <si>
    <t>903</t>
  </si>
  <si>
    <t>Civil Engineer Political Infrastructure Specialist</t>
  </si>
  <si>
    <t>335</t>
  </si>
  <si>
    <t>1.0</t>
  </si>
  <si>
    <t>0.74</t>
  </si>
  <si>
    <t>503</t>
  </si>
  <si>
    <t>781</t>
  </si>
  <si>
    <t>0.48</t>
  </si>
  <si>
    <t>913</t>
  </si>
  <si>
    <t xml:space="preserve">Civil Engineer RES </t>
  </si>
  <si>
    <t>0.88</t>
  </si>
  <si>
    <t>116</t>
  </si>
  <si>
    <t>Architectural Engineer Rethymnon Crete</t>
  </si>
  <si>
    <t>250</t>
  </si>
  <si>
    <t xml:space="preserve">Architectural Engineer Rethymnon Crete </t>
  </si>
  <si>
    <t>0.49</t>
  </si>
  <si>
    <t>248</t>
  </si>
  <si>
    <t>Executive Chef</t>
  </si>
  <si>
    <t>440</t>
  </si>
  <si>
    <t>Sous Chef Athens</t>
  </si>
  <si>
    <t>707</t>
  </si>
  <si>
    <t xml:space="preserve">Cook Chalkidiki CK. A Chlk </t>
  </si>
  <si>
    <t>733</t>
  </si>
  <si>
    <t xml:space="preserve">Experienced Cook Assistant for Cold Kitchen Desserts Stuttgart </t>
  </si>
  <si>
    <t>86</t>
  </si>
  <si>
    <t>Cook A B</t>
  </si>
  <si>
    <t>768</t>
  </si>
  <si>
    <t>Coffee and Buffet Staff</t>
  </si>
  <si>
    <t>198</t>
  </si>
  <si>
    <t xml:space="preserve">Cook Kos Kardamena area </t>
  </si>
  <si>
    <t>71</t>
  </si>
  <si>
    <t xml:space="preserve">Experienced Baker Kitchen Assistant for Greek Restaurant in Nuremberg Couple Required </t>
  </si>
  <si>
    <t>754</t>
  </si>
  <si>
    <t>Marketing Manager</t>
  </si>
  <si>
    <t xml:space="preserve">Marketing Manager Food Industry </t>
  </si>
  <si>
    <t>675</t>
  </si>
  <si>
    <t>370</t>
  </si>
  <si>
    <t xml:space="preserve">Digital Marketing Manager Performance Marketing Full Time </t>
  </si>
  <si>
    <t>745</t>
  </si>
  <si>
    <t xml:space="preserve">Marketing Executive Volos Area </t>
  </si>
  <si>
    <t>508</t>
  </si>
  <si>
    <t xml:space="preserve">Digital Marketer Content Social Media Marketing Specialist </t>
  </si>
  <si>
    <t>34</t>
  </si>
  <si>
    <t xml:space="preserve">Sportsbook Casino CRM Marketing Manager for our UK Offices </t>
  </si>
  <si>
    <t>0.33</t>
  </si>
  <si>
    <t>599</t>
  </si>
  <si>
    <t xml:space="preserve">Marketing Assistant Code Mrkassistant </t>
  </si>
  <si>
    <t>0.46</t>
  </si>
  <si>
    <t>965</t>
  </si>
  <si>
    <t>Web Developer</t>
  </si>
  <si>
    <t>609</t>
  </si>
  <si>
    <t>Front End Developer</t>
  </si>
  <si>
    <t>880</t>
  </si>
  <si>
    <t>Application Developer</t>
  </si>
  <si>
    <t>776</t>
  </si>
  <si>
    <t>Web Application Developer</t>
  </si>
  <si>
    <t>0.93</t>
  </si>
  <si>
    <t>0.42</t>
  </si>
  <si>
    <t>550</t>
  </si>
  <si>
    <t>Mid Front End Developer</t>
  </si>
  <si>
    <t>0.43</t>
  </si>
  <si>
    <t>237</t>
  </si>
  <si>
    <t xml:space="preserve">Experienced Front End Developer Athens based </t>
  </si>
  <si>
    <t>0.41</t>
  </si>
  <si>
    <t>428</t>
  </si>
  <si>
    <t xml:space="preserve">Microsoft.net Web Application Developer Athens Greece </t>
  </si>
  <si>
    <t>0.45</t>
  </si>
  <si>
    <t>624</t>
  </si>
  <si>
    <t>iOS Application Developer ATHENS ATTICA</t>
  </si>
  <si>
    <t>0.44</t>
  </si>
  <si>
    <t>199</t>
  </si>
  <si>
    <t>Software Engineer</t>
  </si>
  <si>
    <t>Backend Software Architect</t>
  </si>
  <si>
    <t>821</t>
  </si>
  <si>
    <t xml:space="preserve">Full Stack Application Developer Atos Unify </t>
  </si>
  <si>
    <t>485</t>
  </si>
  <si>
    <t xml:space="preserve">Software Architect IoT and Big Data </t>
  </si>
  <si>
    <t>0.38</t>
  </si>
  <si>
    <t>504</t>
  </si>
  <si>
    <t>Integration Engineer System Administrator</t>
  </si>
  <si>
    <t>666</t>
  </si>
  <si>
    <t xml:space="preserve">Software Architect Airport Systems Athens Thessaloniki Hybrid or Remote </t>
  </si>
  <si>
    <t>0.39</t>
  </si>
  <si>
    <t>157</t>
  </si>
  <si>
    <t>Senior Front End Developer Power Bi Business Data Analyst at Teleperformance Greece</t>
  </si>
  <si>
    <t>Gemma</t>
  </si>
  <si>
    <t>Nomic</t>
  </si>
  <si>
    <t xml:space="preserve">Gemma </t>
  </si>
  <si>
    <t xml:space="preserve">Nomic </t>
  </si>
  <si>
    <t>jp-id 823</t>
  </si>
  <si>
    <t>jp-id 234</t>
  </si>
  <si>
    <t>jp-id 541</t>
  </si>
  <si>
    <t>jp-id 177</t>
  </si>
  <si>
    <t>jp-id 355</t>
  </si>
  <si>
    <t>jp-id 628</t>
  </si>
  <si>
    <t>jp-id 470</t>
  </si>
  <si>
    <t>jp-id 846</t>
  </si>
  <si>
    <t>jp-id 75</t>
  </si>
  <si>
    <t>jp-id 233</t>
  </si>
  <si>
    <t>jp-id 903</t>
  </si>
  <si>
    <t>jp-id 335</t>
  </si>
  <si>
    <t>jp-id 503</t>
  </si>
  <si>
    <t>jp-id 781</t>
  </si>
  <si>
    <t>jp-id 913</t>
  </si>
  <si>
    <t>jp-id 116</t>
  </si>
  <si>
    <t>jp-id 250</t>
  </si>
  <si>
    <t>jp-id 440</t>
  </si>
  <si>
    <t>jp-id 707</t>
  </si>
  <si>
    <t>jp-id 733</t>
  </si>
  <si>
    <t>jp-id 86</t>
  </si>
  <si>
    <t>jp-id 768</t>
  </si>
  <si>
    <t>jp-id 198</t>
  </si>
  <si>
    <t>jp-id 71</t>
  </si>
  <si>
    <t>jp-id 675</t>
  </si>
  <si>
    <t>jp-id 370</t>
  </si>
  <si>
    <t>jp-id 745</t>
  </si>
  <si>
    <t>jp-id 508</t>
  </si>
  <si>
    <t>jp-id 34</t>
  </si>
  <si>
    <t>jp-id 599</t>
  </si>
  <si>
    <t>jp-id 609</t>
  </si>
  <si>
    <t>jp-id 880</t>
  </si>
  <si>
    <t>jp-id 776</t>
  </si>
  <si>
    <t>jp-id 550</t>
  </si>
  <si>
    <t>jp-id 237</t>
  </si>
  <si>
    <t>jp-id 428</t>
  </si>
  <si>
    <t>jp-id 624</t>
  </si>
  <si>
    <t>jp-id 821</t>
  </si>
  <si>
    <t>jp-id485</t>
  </si>
  <si>
    <t>jp-id 504</t>
  </si>
  <si>
    <t>jp-id 666</t>
  </si>
  <si>
    <t>jp-id 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</si>
</sst>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</a:t>
            </a:r>
            <a:r>
              <a:rPr lang="en-US" baseline="0"/>
              <a:t> to jobposts overall </a:t>
            </a:r>
            <a:r>
              <a:rPr lang="en-US"/>
              <a:t>evaluation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'resume-to-jobPosts.xlsx'!$D$53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'resume-to-jobPosts.xlsx'!$C$54:$C$59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'resume-to-jobPosts.xlsx'!$D$54:$D$59</c:f>
              <c:numCache>
                <c:formatCode>0.00</c:formatCode>
                <c:ptCount val="6"/>
                <c:pt idx="0">
                  <c:v>0.7</c:v>
                </c:pt>
                <c:pt idx="1">
                  <c:v>0.8</c:v>
                </c:pt>
                <c:pt idx="2">
                  <c:v>0.72</c:v>
                </c:pt>
                <c:pt idx="3">
                  <c:v>0.77</c:v>
                </c:pt>
                <c:pt idx="4">
                  <c:v>0.8</c:v>
                </c:pt>
                <c:pt idx="5" formatCode="General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B-42A2-9348-3770B7CBE9B7}"/>
            </c:ext>
          </c:extLst>
        </c:ser>
        <c:ser>
          <c:idx val="1"/>
          <c:order val="1"/>
          <c:tx>
            <c:strRef>
              <c:f>'resume-to-jobPosts.xlsx'!$E$53</c:f>
              <c:strCache>
                <c:ptCount val="1"/>
                <c:pt idx="0">
                  <c:v>Nomic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'resume-to-jobPosts.xlsx'!$C$54:$C$59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'resume-to-jobPosts.xlsx'!$E$54:$E$59</c:f>
              <c:numCache>
                <c:formatCode>0.00</c:formatCode>
                <c:ptCount val="6"/>
                <c:pt idx="0">
                  <c:v>0.65</c:v>
                </c:pt>
                <c:pt idx="1">
                  <c:v>0.73</c:v>
                </c:pt>
                <c:pt idx="2" formatCode="#,##0.00">
                  <c:v>0.65</c:v>
                </c:pt>
                <c:pt idx="3">
                  <c:v>0.69</c:v>
                </c:pt>
                <c:pt idx="4">
                  <c:v>0.68</c:v>
                </c:pt>
                <c:pt idx="5" formatCode="General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B-42A2-9348-3770B7CBE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Top ranking jobpost per resume</a:t>
                </a:r>
              </a:p>
            </c:rich>
          </c:tx>
          <c:layout>
            <c:manualLayout>
              <c:xMode val="edge"/>
              <c:yMode val="edge"/>
              <c:x val="0.34225217518717777"/>
              <c:y val="0.92253866896774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Resume</a:t>
            </a:r>
            <a:r>
              <a:rPr lang="en-US" sz="1400" baseline="0"/>
              <a:t> to jobposts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most valuable attributes evaluation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'resume-to-jobPosts.xlsx'!$D$80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'resume-to-jobPosts.xlsx'!$C$81:$C$86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'resume-to-jobPosts.xlsx'!$D$81:$D$86</c:f>
              <c:numCache>
                <c:formatCode>0.00</c:formatCode>
                <c:ptCount val="6"/>
                <c:pt idx="0">
                  <c:v>0.7</c:v>
                </c:pt>
                <c:pt idx="1">
                  <c:v>0.82499999999999996</c:v>
                </c:pt>
                <c:pt idx="2">
                  <c:v>0.71</c:v>
                </c:pt>
                <c:pt idx="3">
                  <c:v>0.76750000000000007</c:v>
                </c:pt>
                <c:pt idx="4">
                  <c:v>0.84499999999999997</c:v>
                </c:pt>
                <c:pt idx="5">
                  <c:v>0.75250000000000006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4-49F2-A67A-EE2A01A53C7C}"/>
            </c:ext>
          </c:extLst>
        </c:ser>
        <c:ser>
          <c:idx val="1"/>
          <c:order val="1"/>
          <c:tx>
            <c:strRef>
              <c:f>'resume-to-jobPosts.xlsx'!$E$80</c:f>
              <c:strCache>
                <c:ptCount val="1"/>
                <c:pt idx="0">
                  <c:v>Nomic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'resume-to-jobPosts.xlsx'!$C$81:$C$86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'resume-to-jobPosts.xlsx'!$E$81:$E$86</c:f>
              <c:numCache>
                <c:formatCode>0.00</c:formatCode>
                <c:ptCount val="6"/>
                <c:pt idx="0">
                  <c:v>0.66500000000000004</c:v>
                </c:pt>
                <c:pt idx="1">
                  <c:v>0.72499999999999987</c:v>
                </c:pt>
                <c:pt idx="2" formatCode="#,##0.00">
                  <c:v>0.64500000000000002</c:v>
                </c:pt>
                <c:pt idx="3">
                  <c:v>0.69</c:v>
                </c:pt>
                <c:pt idx="4">
                  <c:v>0.71750000000000003</c:v>
                </c:pt>
                <c:pt idx="5">
                  <c:v>0.60250000000000004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4-49F2-A67A-EE2A01A53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Top ranking jobpost per resume</a:t>
                </a:r>
              </a:p>
            </c:rich>
          </c:tx>
          <c:layout>
            <c:manualLayout>
              <c:xMode val="edge"/>
              <c:yMode val="edge"/>
              <c:x val="0.36000489684662573"/>
              <c:y val="0.92253866896774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Jobpost ranking per title</a:t>
            </a:r>
            <a:endParaRPr lang="en-US" sz="1200"/>
          </a:p>
        </c:rich>
      </c:tx>
      <c:layout>
        <c:manualLayout>
          <c:xMode val="edge"/>
          <c:yMode val="edge"/>
          <c:x val="2.4847402243895346E-2"/>
          <c:y val="0.88639060894087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'resume-to-jobPosts.xlsx'!$I$55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4519956850053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0D6-45A4-A033-FBA3BBF74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'resume-to-jobPosts.xlsx'!$J$54:$O$54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'resume-to-jobPosts.xlsx'!$J$55:$O$55</c:f>
              <c:numCache>
                <c:formatCode>General</c:formatCode>
                <c:ptCount val="6"/>
                <c:pt idx="0">
                  <c:v>0.84</c:v>
                </c:pt>
                <c:pt idx="1">
                  <c:v>0.87</c:v>
                </c:pt>
                <c:pt idx="2">
                  <c:v>0.78</c:v>
                </c:pt>
                <c:pt idx="3">
                  <c:v>0.89</c:v>
                </c:pt>
                <c:pt idx="4">
                  <c:v>0.92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6-45A4-A033-FBA3BBF7439B}"/>
            </c:ext>
          </c:extLst>
        </c:ser>
        <c:ser>
          <c:idx val="1"/>
          <c:order val="1"/>
          <c:tx>
            <c:strRef>
              <c:f>'resume-to-jobPosts.xlsx'!$I$56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'resume-to-jobPosts.xlsx'!$J$54:$O$54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'resume-to-jobPosts.xlsx'!$J$56:$O$56</c:f>
              <c:numCache>
                <c:formatCode>General</c:formatCode>
                <c:ptCount val="6"/>
                <c:pt idx="0">
                  <c:v>0.83</c:v>
                </c:pt>
                <c:pt idx="1">
                  <c:v>1</c:v>
                </c:pt>
                <c:pt idx="2">
                  <c:v>0.68</c:v>
                </c:pt>
                <c:pt idx="3">
                  <c:v>1</c:v>
                </c:pt>
                <c:pt idx="4">
                  <c:v>0.89</c:v>
                </c:pt>
                <c:pt idx="5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D6-45A4-A033-FBA3BBF7439B}"/>
            </c:ext>
          </c:extLst>
        </c:ser>
        <c:ser>
          <c:idx val="2"/>
          <c:order val="2"/>
          <c:tx>
            <c:strRef>
              <c:f>'resume-to-jobPosts.xlsx'!$I$57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'resume-to-jobPosts.xlsx'!$J$54:$O$54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'resume-to-jobPosts.xlsx'!$J$57:$O$57</c:f>
              <c:numCache>
                <c:formatCode>General</c:formatCode>
                <c:ptCount val="6"/>
                <c:pt idx="0">
                  <c:v>0.8</c:v>
                </c:pt>
                <c:pt idx="1">
                  <c:v>1</c:v>
                </c:pt>
                <c:pt idx="2">
                  <c:v>0.72</c:v>
                </c:pt>
                <c:pt idx="3">
                  <c:v>0.85</c:v>
                </c:pt>
                <c:pt idx="4">
                  <c:v>0.97</c:v>
                </c:pt>
                <c:pt idx="5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D6-45A4-A033-FBA3BBF7439B}"/>
            </c:ext>
          </c:extLst>
        </c:ser>
        <c:ser>
          <c:idx val="3"/>
          <c:order val="3"/>
          <c:tx>
            <c:strRef>
              <c:f>'resume-to-jobPosts.xlsx'!$I$58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3.4408602150536372E-3"/>
                  <c:y val="-2.5889967637540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0D6-45A4-A033-FBA3BBF7439B}"/>
                </c:ext>
              </c:extLst>
            </c:dLbl>
            <c:dLbl>
              <c:idx val="5"/>
              <c:layout>
                <c:manualLayout>
                  <c:x val="1.7204301075268817E-3"/>
                  <c:y val="-2.5889967637540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D6-45A4-A033-FBA3BBF74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'resume-to-jobPosts.xlsx'!$J$54:$O$54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'resume-to-jobPosts.xlsx'!$J$58:$O$58</c:f>
              <c:numCache>
                <c:formatCode>General</c:formatCode>
                <c:ptCount val="6"/>
                <c:pt idx="0">
                  <c:v>0.8</c:v>
                </c:pt>
                <c:pt idx="1">
                  <c:v>1</c:v>
                </c:pt>
                <c:pt idx="2">
                  <c:v>0.78</c:v>
                </c:pt>
                <c:pt idx="3">
                  <c:v>0.79</c:v>
                </c:pt>
                <c:pt idx="4">
                  <c:v>0.85</c:v>
                </c:pt>
                <c:pt idx="5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D6-45A4-A033-FBA3BBF7439B}"/>
            </c:ext>
          </c:extLst>
        </c:ser>
        <c:ser>
          <c:idx val="4"/>
          <c:order val="4"/>
          <c:tx>
            <c:strRef>
              <c:f>'resume-to-jobPosts.xlsx'!$I$59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2616341710141103E-16"/>
                  <c:y val="-1.7259978425026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D6-45A4-A033-FBA3BBF74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'resume-to-jobPosts.xlsx'!$J$54:$O$54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'resume-to-jobPosts.xlsx'!$J$59:$O$59</c:f>
              <c:numCache>
                <c:formatCode>General</c:formatCode>
                <c:ptCount val="6"/>
                <c:pt idx="0">
                  <c:v>0.75</c:v>
                </c:pt>
                <c:pt idx="1">
                  <c:v>0.9</c:v>
                </c:pt>
                <c:pt idx="2">
                  <c:v>0.74</c:v>
                </c:pt>
                <c:pt idx="3">
                  <c:v>0.77</c:v>
                </c:pt>
                <c:pt idx="4">
                  <c:v>0.76</c:v>
                </c:pt>
                <c:pt idx="5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D6-45A4-A033-FBA3BBF7439B}"/>
            </c:ext>
          </c:extLst>
        </c:ser>
        <c:ser>
          <c:idx val="5"/>
          <c:order val="5"/>
          <c:tx>
            <c:strRef>
              <c:f>'resume-to-jobPosts.xlsx'!$I$60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5.1612903225806452E-3"/>
                  <c:y val="-3.8834951456310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D6-45A4-A033-FBA3BBF7439B}"/>
                </c:ext>
              </c:extLst>
            </c:dLbl>
            <c:dLbl>
              <c:idx val="4"/>
              <c:layout>
                <c:manualLayout>
                  <c:x val="-3.4408602150537634E-3"/>
                  <c:y val="-3.4519956850053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D6-45A4-A033-FBA3BBF74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'resume-to-jobPosts.xlsx'!$J$54:$O$54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'resume-to-jobPosts.xlsx'!$J$60:$O$60</c:f>
              <c:numCache>
                <c:formatCode>General</c:formatCode>
                <c:ptCount val="6"/>
                <c:pt idx="0">
                  <c:v>0.84</c:v>
                </c:pt>
                <c:pt idx="1">
                  <c:v>0.79</c:v>
                </c:pt>
                <c:pt idx="2">
                  <c:v>0.65</c:v>
                </c:pt>
                <c:pt idx="3">
                  <c:v>0.77</c:v>
                </c:pt>
                <c:pt idx="4">
                  <c:v>0.77</c:v>
                </c:pt>
                <c:pt idx="5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D6-45A4-A033-FBA3BBF74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7"/>
        <c:overlap val="-46"/>
        <c:axId val="1771796320"/>
        <c:axId val="1771822720"/>
      </c:barChart>
      <c:catAx>
        <c:axId val="17717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22720"/>
        <c:crosses val="autoZero"/>
        <c:auto val="1"/>
        <c:lblAlgn val="ctr"/>
        <c:lblOffset val="100"/>
        <c:noMultiLvlLbl val="0"/>
      </c:catAx>
      <c:valAx>
        <c:axId val="177182272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96320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Jobpost ranking per description</a:t>
            </a:r>
            <a:endParaRPr lang="en-US" sz="1200"/>
          </a:p>
        </c:rich>
      </c:tx>
      <c:layout>
        <c:manualLayout>
          <c:xMode val="edge"/>
          <c:yMode val="edge"/>
          <c:x val="2.4847402243895346E-2"/>
          <c:y val="0.88639060894087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'resume-to-jobPosts.xlsx'!$J$80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4519956850053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5E-4A2C-A95A-B82E7D1F46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'resume-to-jobPosts.xlsx'!$K$79:$P$79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'resume-to-jobPosts.xlsx'!$K$80:$P$80</c:f>
              <c:numCache>
                <c:formatCode>General</c:formatCode>
                <c:ptCount val="6"/>
                <c:pt idx="0">
                  <c:v>0.73</c:v>
                </c:pt>
                <c:pt idx="1">
                  <c:v>0.79</c:v>
                </c:pt>
                <c:pt idx="2">
                  <c:v>0.76</c:v>
                </c:pt>
                <c:pt idx="3">
                  <c:v>0.76</c:v>
                </c:pt>
                <c:pt idx="4">
                  <c:v>0.7</c:v>
                </c:pt>
                <c:pt idx="5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5E-4A2C-A95A-B82E7D1F46F2}"/>
            </c:ext>
          </c:extLst>
        </c:ser>
        <c:ser>
          <c:idx val="1"/>
          <c:order val="1"/>
          <c:tx>
            <c:strRef>
              <c:f>'resume-to-jobPosts.xlsx'!$J$81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'resume-to-jobPosts.xlsx'!$K$79:$P$79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'resume-to-jobPosts.xlsx'!$K$81:$P$81</c:f>
              <c:numCache>
                <c:formatCode>General</c:formatCode>
                <c:ptCount val="6"/>
                <c:pt idx="0">
                  <c:v>0.69</c:v>
                </c:pt>
                <c:pt idx="1">
                  <c:v>0.74</c:v>
                </c:pt>
                <c:pt idx="2">
                  <c:v>0.71</c:v>
                </c:pt>
                <c:pt idx="3">
                  <c:v>0.65</c:v>
                </c:pt>
                <c:pt idx="4">
                  <c:v>0.73</c:v>
                </c:pt>
                <c:pt idx="5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E-4A2C-A95A-B82E7D1F46F2}"/>
            </c:ext>
          </c:extLst>
        </c:ser>
        <c:ser>
          <c:idx val="2"/>
          <c:order val="2"/>
          <c:tx>
            <c:strRef>
              <c:f>'resume-to-jobPosts.xlsx'!$J$82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3.0204962243797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45E-4A2C-A95A-B82E7D1F46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'resume-to-jobPosts.xlsx'!$K$79:$P$79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'resume-to-jobPosts.xlsx'!$K$82:$P$82</c:f>
              <c:numCache>
                <c:formatCode>General</c:formatCode>
                <c:ptCount val="6"/>
                <c:pt idx="0">
                  <c:v>0.7</c:v>
                </c:pt>
                <c:pt idx="1">
                  <c:v>0.72</c:v>
                </c:pt>
                <c:pt idx="2">
                  <c:v>0.67</c:v>
                </c:pt>
                <c:pt idx="3">
                  <c:v>0.71</c:v>
                </c:pt>
                <c:pt idx="4">
                  <c:v>0.71</c:v>
                </c:pt>
                <c:pt idx="5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5E-4A2C-A95A-B82E7D1F46F2}"/>
            </c:ext>
          </c:extLst>
        </c:ser>
        <c:ser>
          <c:idx val="3"/>
          <c:order val="3"/>
          <c:tx>
            <c:strRef>
              <c:f>'resume-to-jobPosts.xlsx'!$J$83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204301075268811E-2"/>
                  <c:y val="-3.955366029676114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5E-4A2C-A95A-B82E7D1F46F2}"/>
                </c:ext>
              </c:extLst>
            </c:dLbl>
            <c:dLbl>
              <c:idx val="3"/>
              <c:layout>
                <c:manualLayout>
                  <c:x val="-1.032258064516129E-2"/>
                  <c:y val="-3.4519956850053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5E-4A2C-A95A-B82E7D1F46F2}"/>
                </c:ext>
              </c:extLst>
            </c:dLbl>
            <c:dLbl>
              <c:idx val="5"/>
              <c:layout>
                <c:manualLayout>
                  <c:x val="1.7204301075268817E-3"/>
                  <c:y val="-2.5889967637540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5E-4A2C-A95A-B82E7D1F46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'resume-to-jobPosts.xlsx'!$K$79:$P$79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'resume-to-jobPosts.xlsx'!$K$83:$P$83</c:f>
              <c:numCache>
                <c:formatCode>General</c:formatCode>
                <c:ptCount val="6"/>
                <c:pt idx="0">
                  <c:v>0.69</c:v>
                </c:pt>
                <c:pt idx="1">
                  <c:v>0.72</c:v>
                </c:pt>
                <c:pt idx="2">
                  <c:v>0.66</c:v>
                </c:pt>
                <c:pt idx="3">
                  <c:v>0.72</c:v>
                </c:pt>
                <c:pt idx="4">
                  <c:v>0.67</c:v>
                </c:pt>
                <c:pt idx="5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5E-4A2C-A95A-B82E7D1F46F2}"/>
            </c:ext>
          </c:extLst>
        </c:ser>
        <c:ser>
          <c:idx val="4"/>
          <c:order val="4"/>
          <c:tx>
            <c:strRef>
              <c:f>'resume-to-jobPosts.xlsx'!$J$84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3.0204962243797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45E-4A2C-A95A-B82E7D1F46F2}"/>
                </c:ext>
              </c:extLst>
            </c:dLbl>
            <c:dLbl>
              <c:idx val="5"/>
              <c:layout>
                <c:manualLayout>
                  <c:x val="-1.2616341710141103E-16"/>
                  <c:y val="-1.7259978425026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5E-4A2C-A95A-B82E7D1F46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'resume-to-jobPosts.xlsx'!$K$79:$P$79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'resume-to-jobPosts.xlsx'!$K$84:$P$84</c:f>
              <c:numCache>
                <c:formatCode>General</c:formatCode>
                <c:ptCount val="6"/>
                <c:pt idx="0">
                  <c:v>0.75</c:v>
                </c:pt>
                <c:pt idx="1">
                  <c:v>0.66</c:v>
                </c:pt>
                <c:pt idx="2">
                  <c:v>0.61</c:v>
                </c:pt>
                <c:pt idx="3">
                  <c:v>0.75</c:v>
                </c:pt>
                <c:pt idx="4">
                  <c:v>0.68</c:v>
                </c:pt>
                <c:pt idx="5">
                  <c:v>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5E-4A2C-A95A-B82E7D1F46F2}"/>
            </c:ext>
          </c:extLst>
        </c:ser>
        <c:ser>
          <c:idx val="5"/>
          <c:order val="5"/>
          <c:tx>
            <c:strRef>
              <c:f>'resume-to-jobPosts.xlsx'!$J$85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5.1612903225806452E-3"/>
                  <c:y val="-3.8834951456310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5E-4A2C-A95A-B82E7D1F46F2}"/>
                </c:ext>
              </c:extLst>
            </c:dLbl>
            <c:dLbl>
              <c:idx val="4"/>
              <c:layout>
                <c:manualLayout>
                  <c:x val="-3.4408602150537634E-3"/>
                  <c:y val="-3.4519956850053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45E-4A2C-A95A-B82E7D1F46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'resume-to-jobPosts.xlsx'!$K$79:$P$79</c:f>
              <c:strCache>
                <c:ptCount val="6"/>
                <c:pt idx="0">
                  <c:v>Lawyer</c:v>
                </c:pt>
                <c:pt idx="1">
                  <c:v>Civil Engineer</c:v>
                </c:pt>
                <c:pt idx="2">
                  <c:v>Executive Chef</c:v>
                </c:pt>
                <c:pt idx="3">
                  <c:v>Marketing Manager</c:v>
                </c:pt>
                <c:pt idx="4">
                  <c:v>Web Developer</c:v>
                </c:pt>
                <c:pt idx="5">
                  <c:v>Software Engineer</c:v>
                </c:pt>
              </c:strCache>
            </c:strRef>
          </c:cat>
          <c:val>
            <c:numRef>
              <c:f>'resume-to-jobPosts.xlsx'!$K$85:$P$85</c:f>
              <c:numCache>
                <c:formatCode>General</c:formatCode>
                <c:ptCount val="6"/>
                <c:pt idx="0">
                  <c:v>0.67</c:v>
                </c:pt>
                <c:pt idx="1">
                  <c:v>0.64</c:v>
                </c:pt>
                <c:pt idx="2">
                  <c:v>0.68</c:v>
                </c:pt>
                <c:pt idx="3">
                  <c:v>0.7</c:v>
                </c:pt>
                <c:pt idx="4">
                  <c:v>0.74</c:v>
                </c:pt>
                <c:pt idx="5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45E-4A2C-A95A-B82E7D1F4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7"/>
        <c:overlap val="-46"/>
        <c:axId val="1771796320"/>
        <c:axId val="1771822720"/>
      </c:barChart>
      <c:catAx>
        <c:axId val="17717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22720"/>
        <c:crosses val="autoZero"/>
        <c:auto val="1"/>
        <c:lblAlgn val="ctr"/>
        <c:lblOffset val="100"/>
        <c:noMultiLvlLbl val="0"/>
      </c:catAx>
      <c:valAx>
        <c:axId val="1771822720"/>
        <c:scaling>
          <c:orientation val="minMax"/>
          <c:max val="0.8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96320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Lawyer</a:t>
            </a:r>
            <a:r>
              <a:rPr lang="en-US" sz="1400" baseline="0"/>
              <a:t> j</a:t>
            </a:r>
            <a:r>
              <a:rPr lang="en-US" sz="1400"/>
              <a:t>obposts</a:t>
            </a:r>
            <a:r>
              <a:rPr lang="en-US" sz="1400" baseline="0"/>
              <a:t> to resume ranking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'resume-to-jobPosts.xlsx'!$C$109</c:f>
              <c:strCache>
                <c:ptCount val="1"/>
                <c:pt idx="0">
                  <c:v>Gemma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'resume-to-jobPosts.xlsx'!$B$110:$B$119</c:f>
              <c:strCache>
                <c:ptCount val="10"/>
                <c:pt idx="0">
                  <c:v>jp-id 823</c:v>
                </c:pt>
                <c:pt idx="1">
                  <c:v>jp-id 234</c:v>
                </c:pt>
                <c:pt idx="2">
                  <c:v>jp-id 541</c:v>
                </c:pt>
                <c:pt idx="3">
                  <c:v>jp-id 177</c:v>
                </c:pt>
                <c:pt idx="4">
                  <c:v>jp-id 355</c:v>
                </c:pt>
                <c:pt idx="5">
                  <c:v>jp-id 628</c:v>
                </c:pt>
                <c:pt idx="6">
                  <c:v>jp-id 470</c:v>
                </c:pt>
                <c:pt idx="7">
                  <c:v>jp-id 846</c:v>
                </c:pt>
                <c:pt idx="8">
                  <c:v>jp-id 75</c:v>
                </c:pt>
                <c:pt idx="9">
                  <c:v>jp-id 233</c:v>
                </c:pt>
              </c:strCache>
            </c:strRef>
          </c:cat>
          <c:val>
            <c:numRef>
              <c:f>'resume-to-jobPosts.xlsx'!$C$110:$C$119</c:f>
              <c:numCache>
                <c:formatCode>General</c:formatCode>
                <c:ptCount val="10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0.69</c:v>
                </c:pt>
                <c:pt idx="5">
                  <c:v>0.68</c:v>
                </c:pt>
                <c:pt idx="6">
                  <c:v>0.68</c:v>
                </c:pt>
                <c:pt idx="7">
                  <c:v>0.67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0-458D-BD0D-3BF9F2BA5702}"/>
            </c:ext>
          </c:extLst>
        </c:ser>
        <c:ser>
          <c:idx val="1"/>
          <c:order val="1"/>
          <c:tx>
            <c:strRef>
              <c:f>'resume-to-jobPosts.xlsx'!$D$109</c:f>
              <c:strCache>
                <c:ptCount val="1"/>
                <c:pt idx="0">
                  <c:v>Nomic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'resume-to-jobPosts.xlsx'!$B$110:$B$119</c:f>
              <c:strCache>
                <c:ptCount val="10"/>
                <c:pt idx="0">
                  <c:v>jp-id 823</c:v>
                </c:pt>
                <c:pt idx="1">
                  <c:v>jp-id 234</c:v>
                </c:pt>
                <c:pt idx="2">
                  <c:v>jp-id 541</c:v>
                </c:pt>
                <c:pt idx="3">
                  <c:v>jp-id 177</c:v>
                </c:pt>
                <c:pt idx="4">
                  <c:v>jp-id 355</c:v>
                </c:pt>
                <c:pt idx="5">
                  <c:v>jp-id 628</c:v>
                </c:pt>
                <c:pt idx="6">
                  <c:v>jp-id 470</c:v>
                </c:pt>
                <c:pt idx="7">
                  <c:v>jp-id 846</c:v>
                </c:pt>
                <c:pt idx="8">
                  <c:v>jp-id 75</c:v>
                </c:pt>
                <c:pt idx="9">
                  <c:v>jp-id 233</c:v>
                </c:pt>
              </c:strCache>
            </c:strRef>
          </c:cat>
          <c:val>
            <c:numRef>
              <c:f>'resume-to-jobPosts.xlsx'!$D$110:$D$119</c:f>
              <c:numCache>
                <c:formatCode>General</c:formatCode>
                <c:ptCount val="10"/>
                <c:pt idx="0">
                  <c:v>0.65</c:v>
                </c:pt>
                <c:pt idx="1">
                  <c:v>0.63</c:v>
                </c:pt>
                <c:pt idx="2">
                  <c:v>0.6</c:v>
                </c:pt>
                <c:pt idx="3">
                  <c:v>0.62</c:v>
                </c:pt>
                <c:pt idx="4">
                  <c:v>0.64</c:v>
                </c:pt>
                <c:pt idx="5">
                  <c:v>0.6</c:v>
                </c:pt>
                <c:pt idx="6">
                  <c:v>0.62</c:v>
                </c:pt>
                <c:pt idx="7">
                  <c:v>0.6</c:v>
                </c:pt>
                <c:pt idx="8">
                  <c:v>0.61</c:v>
                </c:pt>
                <c:pt idx="9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0-458D-BD0D-3BF9F2BA5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Civil engineer j</a:t>
            </a:r>
            <a:r>
              <a:rPr lang="en-US" sz="1400"/>
              <a:t>obposts</a:t>
            </a:r>
            <a:r>
              <a:rPr lang="en-US" sz="1400" baseline="0"/>
              <a:t> to resume ranking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'resume-to-jobPosts.xlsx'!$L$104</c:f>
              <c:strCache>
                <c:ptCount val="1"/>
                <c:pt idx="0">
                  <c:v>Gemma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'resume-to-jobPosts.xlsx'!$K$105:$K$111</c:f>
              <c:strCache>
                <c:ptCount val="7"/>
                <c:pt idx="0">
                  <c:v>jp-id 903</c:v>
                </c:pt>
                <c:pt idx="1">
                  <c:v>jp-id 335</c:v>
                </c:pt>
                <c:pt idx="2">
                  <c:v>jp-id 503</c:v>
                </c:pt>
                <c:pt idx="3">
                  <c:v>jp-id 781</c:v>
                </c:pt>
                <c:pt idx="4">
                  <c:v>jp-id 913</c:v>
                </c:pt>
                <c:pt idx="5">
                  <c:v>jp-id 116</c:v>
                </c:pt>
                <c:pt idx="6">
                  <c:v>jp-id 250</c:v>
                </c:pt>
              </c:strCache>
            </c:strRef>
          </c:cat>
          <c:val>
            <c:numRef>
              <c:f>'resume-to-jobPosts.xlsx'!$L$105:$L$111</c:f>
              <c:numCache>
                <c:formatCode>General</c:formatCode>
                <c:ptCount val="7"/>
                <c:pt idx="0">
                  <c:v>0.8</c:v>
                </c:pt>
                <c:pt idx="1">
                  <c:v>0.79</c:v>
                </c:pt>
                <c:pt idx="2">
                  <c:v>0.79</c:v>
                </c:pt>
                <c:pt idx="3">
                  <c:v>0.77</c:v>
                </c:pt>
                <c:pt idx="4">
                  <c:v>0.73</c:v>
                </c:pt>
                <c:pt idx="5">
                  <c:v>0.71</c:v>
                </c:pt>
                <c:pt idx="6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7-4246-B7DC-0400F99F6C07}"/>
            </c:ext>
          </c:extLst>
        </c:ser>
        <c:ser>
          <c:idx val="1"/>
          <c:order val="1"/>
          <c:tx>
            <c:strRef>
              <c:f>'resume-to-jobPosts.xlsx'!$M$104</c:f>
              <c:strCache>
                <c:ptCount val="1"/>
                <c:pt idx="0">
                  <c:v>Nomic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'resume-to-jobPosts.xlsx'!$K$105:$K$111</c:f>
              <c:strCache>
                <c:ptCount val="7"/>
                <c:pt idx="0">
                  <c:v>jp-id 903</c:v>
                </c:pt>
                <c:pt idx="1">
                  <c:v>jp-id 335</c:v>
                </c:pt>
                <c:pt idx="2">
                  <c:v>jp-id 503</c:v>
                </c:pt>
                <c:pt idx="3">
                  <c:v>jp-id 781</c:v>
                </c:pt>
                <c:pt idx="4">
                  <c:v>jp-id 913</c:v>
                </c:pt>
                <c:pt idx="5">
                  <c:v>jp-id 116</c:v>
                </c:pt>
                <c:pt idx="6">
                  <c:v>jp-id 250</c:v>
                </c:pt>
              </c:strCache>
            </c:strRef>
          </c:cat>
          <c:val>
            <c:numRef>
              <c:f>'resume-to-jobPosts.xlsx'!$M$105:$M$111</c:f>
              <c:numCache>
                <c:formatCode>General</c:formatCode>
                <c:ptCount val="7"/>
                <c:pt idx="0">
                  <c:v>0.73</c:v>
                </c:pt>
                <c:pt idx="1">
                  <c:v>0.73</c:v>
                </c:pt>
                <c:pt idx="2">
                  <c:v>0.74</c:v>
                </c:pt>
                <c:pt idx="3">
                  <c:v>0.68</c:v>
                </c:pt>
                <c:pt idx="4">
                  <c:v>0.67</c:v>
                </c:pt>
                <c:pt idx="5">
                  <c:v>0.65</c:v>
                </c:pt>
                <c:pt idx="6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7-4246-B7DC-0400F99F6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5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Executive Chef j</a:t>
            </a:r>
            <a:r>
              <a:rPr lang="en-US" sz="1400"/>
              <a:t>obposts</a:t>
            </a:r>
            <a:r>
              <a:rPr lang="en-US" sz="1400" baseline="0"/>
              <a:t> to resume ranking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'resume-to-jobPosts.xlsx'!$V$104</c:f>
              <c:strCache>
                <c:ptCount val="1"/>
                <c:pt idx="0">
                  <c:v>Gemma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'resume-to-jobPosts.xlsx'!$U$105:$U$111</c:f>
              <c:strCache>
                <c:ptCount val="7"/>
                <c:pt idx="0">
                  <c:v>jp-id 440</c:v>
                </c:pt>
                <c:pt idx="1">
                  <c:v>jp-id 707</c:v>
                </c:pt>
                <c:pt idx="2">
                  <c:v>jp-id 733</c:v>
                </c:pt>
                <c:pt idx="3">
                  <c:v>jp-id 86</c:v>
                </c:pt>
                <c:pt idx="4">
                  <c:v>jp-id 768</c:v>
                </c:pt>
                <c:pt idx="5">
                  <c:v>jp-id 198</c:v>
                </c:pt>
                <c:pt idx="6">
                  <c:v>jp-id 71</c:v>
                </c:pt>
              </c:strCache>
            </c:strRef>
          </c:cat>
          <c:val>
            <c:numRef>
              <c:f>'resume-to-jobPosts.xlsx'!$V$105:$V$111</c:f>
              <c:numCache>
                <c:formatCode>General</c:formatCode>
                <c:ptCount val="7"/>
                <c:pt idx="0">
                  <c:v>0.72</c:v>
                </c:pt>
                <c:pt idx="1">
                  <c:v>0.71</c:v>
                </c:pt>
                <c:pt idx="2">
                  <c:v>0.7</c:v>
                </c:pt>
                <c:pt idx="3">
                  <c:v>0.7</c:v>
                </c:pt>
                <c:pt idx="4">
                  <c:v>0.66</c:v>
                </c:pt>
                <c:pt idx="5">
                  <c:v>0.66</c:v>
                </c:pt>
                <c:pt idx="6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B-4CF0-ACE0-F9F947213848}"/>
            </c:ext>
          </c:extLst>
        </c:ser>
        <c:ser>
          <c:idx val="1"/>
          <c:order val="1"/>
          <c:tx>
            <c:strRef>
              <c:f>'resume-to-jobPosts.xlsx'!$W$104</c:f>
              <c:strCache>
                <c:ptCount val="1"/>
                <c:pt idx="0">
                  <c:v>Nomic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'resume-to-jobPosts.xlsx'!$U$105:$U$111</c:f>
              <c:strCache>
                <c:ptCount val="7"/>
                <c:pt idx="0">
                  <c:v>jp-id 440</c:v>
                </c:pt>
                <c:pt idx="1">
                  <c:v>jp-id 707</c:v>
                </c:pt>
                <c:pt idx="2">
                  <c:v>jp-id 733</c:v>
                </c:pt>
                <c:pt idx="3">
                  <c:v>jp-id 86</c:v>
                </c:pt>
                <c:pt idx="4">
                  <c:v>jp-id 768</c:v>
                </c:pt>
                <c:pt idx="5">
                  <c:v>jp-id 198</c:v>
                </c:pt>
                <c:pt idx="6">
                  <c:v>jp-id 71</c:v>
                </c:pt>
              </c:strCache>
            </c:strRef>
          </c:cat>
          <c:val>
            <c:numRef>
              <c:f>'resume-to-jobPosts.xlsx'!$W$105:$W$111</c:f>
              <c:numCache>
                <c:formatCode>General</c:formatCode>
                <c:ptCount val="7"/>
                <c:pt idx="0">
                  <c:v>0.65</c:v>
                </c:pt>
                <c:pt idx="1">
                  <c:v>0.66</c:v>
                </c:pt>
                <c:pt idx="2">
                  <c:v>0.65</c:v>
                </c:pt>
                <c:pt idx="3">
                  <c:v>0.63</c:v>
                </c:pt>
                <c:pt idx="4">
                  <c:v>0.6</c:v>
                </c:pt>
                <c:pt idx="5">
                  <c:v>0.61</c:v>
                </c:pt>
                <c:pt idx="6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B-4CF0-ACE0-F9F947213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5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Marketing Manager j</a:t>
            </a:r>
            <a:r>
              <a:rPr lang="en-US" sz="1400"/>
              <a:t>obposts</a:t>
            </a:r>
            <a:r>
              <a:rPr lang="en-US" sz="1400" baseline="0"/>
              <a:t> to resume ranking</a:t>
            </a:r>
            <a:endParaRPr lang="en-US" sz="1400"/>
          </a:p>
        </c:rich>
      </c:tx>
      <c:layout>
        <c:manualLayout>
          <c:xMode val="edge"/>
          <c:yMode val="edge"/>
          <c:x val="0.20151336394945848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'resume-to-jobPosts.xlsx'!$D$141</c:f>
              <c:strCache>
                <c:ptCount val="1"/>
                <c:pt idx="0">
                  <c:v>Gemma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'resume-to-jobPosts.xlsx'!$C$142:$C$148</c:f>
              <c:strCache>
                <c:ptCount val="7"/>
                <c:pt idx="0">
                  <c:v>jp-id 733</c:v>
                </c:pt>
                <c:pt idx="1">
                  <c:v>jp-id 675</c:v>
                </c:pt>
                <c:pt idx="2">
                  <c:v>jp-id 370</c:v>
                </c:pt>
                <c:pt idx="3">
                  <c:v>jp-id 745</c:v>
                </c:pt>
                <c:pt idx="4">
                  <c:v>jp-id 508</c:v>
                </c:pt>
                <c:pt idx="5">
                  <c:v>jp-id 34</c:v>
                </c:pt>
                <c:pt idx="6">
                  <c:v>jp-id 599</c:v>
                </c:pt>
              </c:strCache>
            </c:strRef>
          </c:cat>
          <c:val>
            <c:numRef>
              <c:f>'resume-to-jobPosts.xlsx'!$D$142:$D$148</c:f>
              <c:numCache>
                <c:formatCode>General</c:formatCode>
                <c:ptCount val="7"/>
                <c:pt idx="0">
                  <c:v>0.77</c:v>
                </c:pt>
                <c:pt idx="1">
                  <c:v>0.75</c:v>
                </c:pt>
                <c:pt idx="2">
                  <c:v>0.74</c:v>
                </c:pt>
                <c:pt idx="3">
                  <c:v>0.74</c:v>
                </c:pt>
                <c:pt idx="4">
                  <c:v>0.7</c:v>
                </c:pt>
                <c:pt idx="5">
                  <c:v>0.68</c:v>
                </c:pt>
                <c:pt idx="6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7-432E-B3A9-110319D0DFDD}"/>
            </c:ext>
          </c:extLst>
        </c:ser>
        <c:ser>
          <c:idx val="1"/>
          <c:order val="1"/>
          <c:tx>
            <c:strRef>
              <c:f>'resume-to-jobPosts.xlsx'!$E$141</c:f>
              <c:strCache>
                <c:ptCount val="1"/>
                <c:pt idx="0">
                  <c:v>Nomic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'resume-to-jobPosts.xlsx'!$C$142:$C$148</c:f>
              <c:strCache>
                <c:ptCount val="7"/>
                <c:pt idx="0">
                  <c:v>jp-id 733</c:v>
                </c:pt>
                <c:pt idx="1">
                  <c:v>jp-id 675</c:v>
                </c:pt>
                <c:pt idx="2">
                  <c:v>jp-id 370</c:v>
                </c:pt>
                <c:pt idx="3">
                  <c:v>jp-id 745</c:v>
                </c:pt>
                <c:pt idx="4">
                  <c:v>jp-id 508</c:v>
                </c:pt>
                <c:pt idx="5">
                  <c:v>jp-id 34</c:v>
                </c:pt>
                <c:pt idx="6">
                  <c:v>jp-id 599</c:v>
                </c:pt>
              </c:strCache>
            </c:strRef>
          </c:cat>
          <c:val>
            <c:numRef>
              <c:f>'resume-to-jobPosts.xlsx'!$E$142:$E$148</c:f>
              <c:numCache>
                <c:formatCode>General</c:formatCode>
                <c:ptCount val="7"/>
                <c:pt idx="0">
                  <c:v>0.69</c:v>
                </c:pt>
                <c:pt idx="1">
                  <c:v>0.69</c:v>
                </c:pt>
                <c:pt idx="2">
                  <c:v>0.66</c:v>
                </c:pt>
                <c:pt idx="3">
                  <c:v>0.66</c:v>
                </c:pt>
                <c:pt idx="4">
                  <c:v>0.59</c:v>
                </c:pt>
                <c:pt idx="5">
                  <c:v>0.55000000000000004</c:v>
                </c:pt>
                <c:pt idx="6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37-432E-B3A9-110319D0D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Web Developer j</a:t>
            </a:r>
            <a:r>
              <a:rPr lang="en-US" sz="1400"/>
              <a:t>obposts</a:t>
            </a:r>
            <a:r>
              <a:rPr lang="en-US" sz="1400" baseline="0"/>
              <a:t> to resume ranking</a:t>
            </a:r>
            <a:endParaRPr lang="en-US" sz="1400"/>
          </a:p>
        </c:rich>
      </c:tx>
      <c:layout>
        <c:manualLayout>
          <c:xMode val="edge"/>
          <c:yMode val="edge"/>
          <c:x val="0.20151336394945848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'resume-to-jobPosts.xlsx'!$L$141</c:f>
              <c:strCache>
                <c:ptCount val="1"/>
                <c:pt idx="0">
                  <c:v>Gemma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'resume-to-jobPosts.xlsx'!$K$142:$K$148</c:f>
              <c:strCache>
                <c:ptCount val="7"/>
                <c:pt idx="0">
                  <c:v>jp-id 609</c:v>
                </c:pt>
                <c:pt idx="1">
                  <c:v>jp-id 880</c:v>
                </c:pt>
                <c:pt idx="2">
                  <c:v>jp-id 776</c:v>
                </c:pt>
                <c:pt idx="3">
                  <c:v>jp-id 550</c:v>
                </c:pt>
                <c:pt idx="4">
                  <c:v>jp-id 237</c:v>
                </c:pt>
                <c:pt idx="5">
                  <c:v>jp-id 428</c:v>
                </c:pt>
                <c:pt idx="6">
                  <c:v>jp-id 624</c:v>
                </c:pt>
              </c:strCache>
            </c:strRef>
          </c:cat>
          <c:val>
            <c:numRef>
              <c:f>'resume-to-jobPosts.xlsx'!$L$142:$L$148</c:f>
              <c:numCache>
                <c:formatCode>General</c:formatCode>
                <c:ptCount val="7"/>
                <c:pt idx="0">
                  <c:v>0.8</c:v>
                </c:pt>
                <c:pt idx="1">
                  <c:v>0.79</c:v>
                </c:pt>
                <c:pt idx="2">
                  <c:v>0.79</c:v>
                </c:pt>
                <c:pt idx="3">
                  <c:v>0.77</c:v>
                </c:pt>
                <c:pt idx="4">
                  <c:v>0.76</c:v>
                </c:pt>
                <c:pt idx="5">
                  <c:v>0.76</c:v>
                </c:pt>
                <c:pt idx="6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A-45BF-A75E-3CE55404CEA6}"/>
            </c:ext>
          </c:extLst>
        </c:ser>
        <c:ser>
          <c:idx val="1"/>
          <c:order val="1"/>
          <c:tx>
            <c:strRef>
              <c:f>'resume-to-jobPosts.xlsx'!$M$141</c:f>
              <c:strCache>
                <c:ptCount val="1"/>
                <c:pt idx="0">
                  <c:v>Nomic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'resume-to-jobPosts.xlsx'!$K$142:$K$148</c:f>
              <c:strCache>
                <c:ptCount val="7"/>
                <c:pt idx="0">
                  <c:v>jp-id 609</c:v>
                </c:pt>
                <c:pt idx="1">
                  <c:v>jp-id 880</c:v>
                </c:pt>
                <c:pt idx="2">
                  <c:v>jp-id 776</c:v>
                </c:pt>
                <c:pt idx="3">
                  <c:v>jp-id 550</c:v>
                </c:pt>
                <c:pt idx="4">
                  <c:v>jp-id 237</c:v>
                </c:pt>
                <c:pt idx="5">
                  <c:v>jp-id 428</c:v>
                </c:pt>
                <c:pt idx="6">
                  <c:v>jp-id 624</c:v>
                </c:pt>
              </c:strCache>
            </c:strRef>
          </c:cat>
          <c:val>
            <c:numRef>
              <c:f>'resume-to-jobPosts.xlsx'!$M$142:$M$148</c:f>
              <c:numCache>
                <c:formatCode>General</c:formatCode>
                <c:ptCount val="7"/>
                <c:pt idx="0">
                  <c:v>0.68</c:v>
                </c:pt>
                <c:pt idx="1">
                  <c:v>0.68</c:v>
                </c:pt>
                <c:pt idx="2">
                  <c:v>0.73</c:v>
                </c:pt>
                <c:pt idx="3">
                  <c:v>0.67</c:v>
                </c:pt>
                <c:pt idx="4">
                  <c:v>0.66</c:v>
                </c:pt>
                <c:pt idx="5">
                  <c:v>0.66</c:v>
                </c:pt>
                <c:pt idx="6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A-45BF-A75E-3CE55404C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5000000000000009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aseline="0"/>
              <a:t>Software engineer j</a:t>
            </a:r>
            <a:r>
              <a:rPr lang="en-US" sz="1400"/>
              <a:t>obposts</a:t>
            </a:r>
            <a:r>
              <a:rPr lang="en-US" sz="1400" baseline="0"/>
              <a:t> to resume ranking</a:t>
            </a:r>
            <a:endParaRPr lang="en-US" sz="1400"/>
          </a:p>
        </c:rich>
      </c:tx>
      <c:layout>
        <c:manualLayout>
          <c:xMode val="edge"/>
          <c:yMode val="edge"/>
          <c:x val="0.20151336394945848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'resume-to-jobPosts.xlsx'!$U$141</c:f>
              <c:strCache>
                <c:ptCount val="1"/>
                <c:pt idx="0">
                  <c:v>Gemma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'resume-to-jobPosts.xlsx'!$T$142:$T$147</c:f>
              <c:strCache>
                <c:ptCount val="6"/>
                <c:pt idx="0">
                  <c:v>jp-id 609</c:v>
                </c:pt>
                <c:pt idx="1">
                  <c:v>jp-id 821</c:v>
                </c:pt>
                <c:pt idx="2">
                  <c:v>jp-id485</c:v>
                </c:pt>
                <c:pt idx="3">
                  <c:v>jp-id 504</c:v>
                </c:pt>
                <c:pt idx="4">
                  <c:v>jp-id 666</c:v>
                </c:pt>
                <c:pt idx="5">
                  <c:v>jp-id 157</c:v>
                </c:pt>
              </c:strCache>
            </c:strRef>
          </c:cat>
          <c:val>
            <c:numRef>
              <c:f>'resume-to-jobPosts.xlsx'!$U$142:$U$147</c:f>
              <c:numCache>
                <c:formatCode>General</c:formatCode>
                <c:ptCount val="6"/>
                <c:pt idx="0">
                  <c:v>0.73</c:v>
                </c:pt>
                <c:pt idx="1">
                  <c:v>0.7</c:v>
                </c:pt>
                <c:pt idx="2">
                  <c:v>0.69</c:v>
                </c:pt>
                <c:pt idx="3">
                  <c:v>0.68</c:v>
                </c:pt>
                <c:pt idx="4">
                  <c:v>0.67</c:v>
                </c:pt>
                <c:pt idx="5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C-4AEB-AE84-ABDC689B57BE}"/>
            </c:ext>
          </c:extLst>
        </c:ser>
        <c:ser>
          <c:idx val="1"/>
          <c:order val="1"/>
          <c:tx>
            <c:strRef>
              <c:f>'resume-to-jobPosts.xlsx'!$V$141</c:f>
              <c:strCache>
                <c:ptCount val="1"/>
                <c:pt idx="0">
                  <c:v>Nomic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'resume-to-jobPosts.xlsx'!$T$142:$T$147</c:f>
              <c:strCache>
                <c:ptCount val="6"/>
                <c:pt idx="0">
                  <c:v>jp-id 609</c:v>
                </c:pt>
                <c:pt idx="1">
                  <c:v>jp-id 821</c:v>
                </c:pt>
                <c:pt idx="2">
                  <c:v>jp-id485</c:v>
                </c:pt>
                <c:pt idx="3">
                  <c:v>jp-id 504</c:v>
                </c:pt>
                <c:pt idx="4">
                  <c:v>jp-id 666</c:v>
                </c:pt>
                <c:pt idx="5">
                  <c:v>jp-id 157</c:v>
                </c:pt>
              </c:strCache>
            </c:strRef>
          </c:cat>
          <c:val>
            <c:numRef>
              <c:f>'resume-to-jobPosts.xlsx'!$V$142:$V$147</c:f>
              <c:numCache>
                <c:formatCode>General</c:formatCode>
                <c:ptCount val="6"/>
                <c:pt idx="0">
                  <c:v>0.61</c:v>
                </c:pt>
                <c:pt idx="1">
                  <c:v>0.6</c:v>
                </c:pt>
                <c:pt idx="2">
                  <c:v>0.54</c:v>
                </c:pt>
                <c:pt idx="3">
                  <c:v>0.57999999999999996</c:v>
                </c:pt>
                <c:pt idx="4">
                  <c:v>0.52</c:v>
                </c:pt>
                <c:pt idx="5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C-4AEB-AE84-ABDC689B5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60</xdr:row>
      <xdr:rowOff>0</xdr:rowOff>
    </xdr:from>
    <xdr:to>
      <xdr:col>8</xdr:col>
      <xdr:colOff>128058</xdr:colOff>
      <xdr:row>78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E40E3-C5D5-42FE-97B8-7F694B0E2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87</xdr:row>
      <xdr:rowOff>0</xdr:rowOff>
    </xdr:from>
    <xdr:to>
      <xdr:col>8</xdr:col>
      <xdr:colOff>128058</xdr:colOff>
      <xdr:row>105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7BDE14-77D3-442E-B547-C62241F37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628649</xdr:colOff>
      <xdr:row>60</xdr:row>
      <xdr:rowOff>95250</xdr:rowOff>
    </xdr:from>
    <xdr:to>
      <xdr:col>19</xdr:col>
      <xdr:colOff>466724</xdr:colOff>
      <xdr:row>75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1D8773-E69B-4B9C-B2AD-7E301676A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666750</xdr:colOff>
      <xdr:row>86</xdr:row>
      <xdr:rowOff>28575</xdr:rowOff>
    </xdr:from>
    <xdr:to>
      <xdr:col>19</xdr:col>
      <xdr:colOff>504825</xdr:colOff>
      <xdr:row>101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944A06-2966-49CF-B8D6-CE86E1E8F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8</xdr:col>
      <xdr:colOff>813858</xdr:colOff>
      <xdr:row>138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81BC23-4DB3-460C-84E0-E45F62E54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112</xdr:row>
      <xdr:rowOff>0</xdr:rowOff>
    </xdr:from>
    <xdr:to>
      <xdr:col>18</xdr:col>
      <xdr:colOff>251883</xdr:colOff>
      <xdr:row>130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FCA184-01A8-401E-9867-233ADBF72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112</xdr:row>
      <xdr:rowOff>0</xdr:rowOff>
    </xdr:from>
    <xdr:to>
      <xdr:col>29</xdr:col>
      <xdr:colOff>51858</xdr:colOff>
      <xdr:row>130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638863-2E39-4464-867D-AE4291A02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149</xdr:row>
      <xdr:rowOff>0</xdr:rowOff>
    </xdr:from>
    <xdr:to>
      <xdr:col>8</xdr:col>
      <xdr:colOff>813858</xdr:colOff>
      <xdr:row>167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7EB21D-EAAE-4F8E-98E1-B97FEC65F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149</xdr:row>
      <xdr:rowOff>0</xdr:rowOff>
    </xdr:from>
    <xdr:to>
      <xdr:col>18</xdr:col>
      <xdr:colOff>251883</xdr:colOff>
      <xdr:row>167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8B765E-1941-4BF3-B59A-D175F79FA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9525</xdr:colOff>
      <xdr:row>148</xdr:row>
      <xdr:rowOff>180975</xdr:rowOff>
    </xdr:from>
    <xdr:to>
      <xdr:col>29</xdr:col>
      <xdr:colOff>61383</xdr:colOff>
      <xdr:row>167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8903D7-0E65-40DA-B5D8-85F646594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8"/>
  <sheetViews>
    <sheetView tabSelected="1" workbookViewId="0">
      <pane ySplit="1" topLeftCell="A2" activePane="bottomLeft" state="frozen"/>
      <selection pane="bottomLeft" activeCell="W3" sqref="W3:X11"/>
    </sheetView>
  </sheetViews>
  <sheetFormatPr defaultRowHeight="15" x14ac:dyDescent="0.25"/>
  <cols>
    <col min="1" max="1" width="16.5703125" customWidth="1"/>
    <col min="6" max="6" width="11.85546875" customWidth="1"/>
    <col min="7" max="7" width="9.5703125" customWidth="1"/>
    <col min="8" max="8" width="12.85546875" customWidth="1"/>
    <col min="9" max="9" width="13" customWidth="1"/>
    <col min="10" max="10" width="11.7109375" customWidth="1"/>
    <col min="12" max="12" width="10.85546875" customWidth="1"/>
    <col min="14" max="14" width="10.5703125" customWidth="1"/>
    <col min="16" max="16" width="11.28515625" customWidth="1"/>
    <col min="18" max="18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s="2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W1" t="s">
        <v>161</v>
      </c>
      <c r="X1" t="s">
        <v>162</v>
      </c>
    </row>
    <row r="2" spans="1:24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0.7</v>
      </c>
      <c r="G2">
        <v>0.65</v>
      </c>
      <c r="H2">
        <v>0.84</v>
      </c>
      <c r="I2">
        <v>0.78</v>
      </c>
      <c r="J2">
        <v>0.73</v>
      </c>
      <c r="K2">
        <v>0.63</v>
      </c>
      <c r="L2">
        <v>0.75</v>
      </c>
      <c r="M2">
        <v>0.68</v>
      </c>
      <c r="N2">
        <v>0.68</v>
      </c>
      <c r="O2">
        <v>0.62</v>
      </c>
      <c r="P2">
        <v>0.6</v>
      </c>
      <c r="Q2">
        <v>0.66</v>
      </c>
      <c r="R2">
        <v>0.61</v>
      </c>
      <c r="S2">
        <v>0.54</v>
      </c>
      <c r="T2" t="s">
        <v>36</v>
      </c>
      <c r="U2" t="s">
        <v>33</v>
      </c>
      <c r="W2" s="1">
        <f>(H2+L2+P2+R2)/4</f>
        <v>0.7</v>
      </c>
      <c r="X2" s="1">
        <f>(I2+M2+Q2+S2)/4</f>
        <v>0.66500000000000004</v>
      </c>
    </row>
    <row r="3" spans="1:24" x14ac:dyDescent="0.25">
      <c r="A3" t="s">
        <v>21</v>
      </c>
      <c r="B3" t="s">
        <v>22</v>
      </c>
      <c r="C3" t="s">
        <v>23</v>
      </c>
      <c r="D3" t="s">
        <v>38</v>
      </c>
      <c r="E3" t="s">
        <v>39</v>
      </c>
      <c r="F3">
        <v>0.7</v>
      </c>
      <c r="G3">
        <v>0.63</v>
      </c>
      <c r="H3">
        <v>0.83</v>
      </c>
      <c r="I3">
        <v>0.68</v>
      </c>
      <c r="J3">
        <v>0.69</v>
      </c>
      <c r="K3">
        <v>0.64</v>
      </c>
      <c r="L3">
        <v>0.78</v>
      </c>
      <c r="M3">
        <v>0.67</v>
      </c>
      <c r="N3">
        <v>0.66</v>
      </c>
      <c r="O3">
        <v>0.63</v>
      </c>
      <c r="P3">
        <v>0.63</v>
      </c>
      <c r="Q3">
        <v>0.61</v>
      </c>
      <c r="R3">
        <v>0.59</v>
      </c>
      <c r="S3">
        <v>0.55000000000000004</v>
      </c>
      <c r="T3" t="s">
        <v>45</v>
      </c>
      <c r="U3" t="s">
        <v>46</v>
      </c>
      <c r="W3" s="1"/>
      <c r="X3" s="1"/>
    </row>
    <row r="4" spans="1:24" x14ac:dyDescent="0.25">
      <c r="A4" t="s">
        <v>21</v>
      </c>
      <c r="B4" t="s">
        <v>22</v>
      </c>
      <c r="C4" t="s">
        <v>23</v>
      </c>
      <c r="D4" t="s">
        <v>47</v>
      </c>
      <c r="E4" t="s">
        <v>48</v>
      </c>
      <c r="F4">
        <v>0.7</v>
      </c>
      <c r="G4">
        <v>0.6</v>
      </c>
      <c r="H4">
        <v>0.8</v>
      </c>
      <c r="I4">
        <v>0.6</v>
      </c>
      <c r="J4">
        <v>0.7</v>
      </c>
      <c r="K4">
        <v>0.64</v>
      </c>
      <c r="L4">
        <v>0.76</v>
      </c>
      <c r="M4">
        <v>0.64</v>
      </c>
      <c r="N4">
        <v>0.67</v>
      </c>
      <c r="O4">
        <v>0.6</v>
      </c>
      <c r="P4">
        <v>0.63</v>
      </c>
      <c r="Q4">
        <v>0.56999999999999995</v>
      </c>
      <c r="R4">
        <v>0.61</v>
      </c>
      <c r="S4">
        <v>0.54</v>
      </c>
      <c r="T4" t="s">
        <v>33</v>
      </c>
      <c r="U4" t="s">
        <v>41</v>
      </c>
      <c r="W4" s="1"/>
      <c r="X4" s="1"/>
    </row>
    <row r="5" spans="1:24" x14ac:dyDescent="0.25">
      <c r="A5" t="s">
        <v>21</v>
      </c>
      <c r="B5" t="s">
        <v>22</v>
      </c>
      <c r="C5" t="s">
        <v>23</v>
      </c>
      <c r="D5" t="s">
        <v>51</v>
      </c>
      <c r="E5" t="s">
        <v>48</v>
      </c>
      <c r="F5">
        <v>0.7</v>
      </c>
      <c r="G5">
        <v>0.62</v>
      </c>
      <c r="H5">
        <v>0.8</v>
      </c>
      <c r="I5">
        <v>0.6</v>
      </c>
      <c r="J5">
        <v>0.69</v>
      </c>
      <c r="K5">
        <v>0.62</v>
      </c>
      <c r="L5">
        <v>0.79</v>
      </c>
      <c r="M5">
        <v>0.64</v>
      </c>
      <c r="N5">
        <v>0.7</v>
      </c>
      <c r="O5">
        <v>0.71</v>
      </c>
      <c r="P5">
        <v>0.65</v>
      </c>
      <c r="Q5">
        <v>0.64</v>
      </c>
      <c r="R5">
        <v>0.56999999999999995</v>
      </c>
      <c r="S5">
        <v>0.53</v>
      </c>
      <c r="T5" t="s">
        <v>55</v>
      </c>
      <c r="U5" t="s">
        <v>36</v>
      </c>
      <c r="W5" s="1"/>
      <c r="X5" s="1"/>
    </row>
    <row r="6" spans="1:24" x14ac:dyDescent="0.25">
      <c r="A6" t="s">
        <v>21</v>
      </c>
      <c r="B6" t="s">
        <v>22</v>
      </c>
      <c r="C6" t="s">
        <v>23</v>
      </c>
      <c r="D6" t="s">
        <v>56</v>
      </c>
      <c r="E6" t="s">
        <v>57</v>
      </c>
      <c r="F6">
        <v>0.69</v>
      </c>
      <c r="G6">
        <v>0.64</v>
      </c>
      <c r="H6">
        <v>0.75</v>
      </c>
      <c r="I6">
        <v>0.67</v>
      </c>
      <c r="J6">
        <v>0.75</v>
      </c>
      <c r="K6">
        <v>0.65</v>
      </c>
      <c r="L6">
        <v>0.76</v>
      </c>
      <c r="M6">
        <v>0.66</v>
      </c>
      <c r="N6">
        <v>0.69</v>
      </c>
      <c r="O6">
        <v>0.64</v>
      </c>
      <c r="P6">
        <v>0.55000000000000004</v>
      </c>
      <c r="Q6">
        <v>0.63</v>
      </c>
      <c r="R6">
        <v>0.62</v>
      </c>
      <c r="S6">
        <v>0.57999999999999996</v>
      </c>
      <c r="T6" t="s">
        <v>43</v>
      </c>
      <c r="U6" t="s">
        <v>34</v>
      </c>
      <c r="W6" s="1"/>
      <c r="X6" s="1"/>
    </row>
    <row r="7" spans="1:24" x14ac:dyDescent="0.25">
      <c r="A7" t="s">
        <v>21</v>
      </c>
      <c r="B7" t="s">
        <v>22</v>
      </c>
      <c r="C7" t="s">
        <v>23</v>
      </c>
      <c r="D7" t="s">
        <v>58</v>
      </c>
      <c r="E7" t="s">
        <v>59</v>
      </c>
      <c r="F7">
        <v>0.68</v>
      </c>
      <c r="G7">
        <v>0.6</v>
      </c>
      <c r="H7">
        <v>0.84</v>
      </c>
      <c r="I7">
        <v>0.66</v>
      </c>
      <c r="J7">
        <v>0.67</v>
      </c>
      <c r="K7">
        <v>0.66</v>
      </c>
      <c r="L7">
        <v>0.76</v>
      </c>
      <c r="M7">
        <v>0.66</v>
      </c>
      <c r="N7">
        <v>0.63</v>
      </c>
      <c r="O7">
        <v>0.57999999999999996</v>
      </c>
      <c r="P7">
        <v>0.55000000000000004</v>
      </c>
      <c r="Q7">
        <v>0.51</v>
      </c>
      <c r="R7">
        <v>0.62</v>
      </c>
      <c r="S7">
        <v>0.52</v>
      </c>
      <c r="T7" t="s">
        <v>55</v>
      </c>
      <c r="U7" t="s">
        <v>36</v>
      </c>
      <c r="W7" s="1"/>
      <c r="X7" s="1"/>
    </row>
    <row r="8" spans="1:24" x14ac:dyDescent="0.25">
      <c r="A8" t="s">
        <v>21</v>
      </c>
      <c r="B8" t="s">
        <v>22</v>
      </c>
      <c r="C8" t="s">
        <v>23</v>
      </c>
      <c r="D8" t="s">
        <v>62</v>
      </c>
      <c r="E8" t="s">
        <v>63</v>
      </c>
      <c r="F8">
        <v>0.68</v>
      </c>
      <c r="G8">
        <v>0.62</v>
      </c>
      <c r="H8">
        <v>0.89</v>
      </c>
      <c r="I8">
        <v>0.79</v>
      </c>
      <c r="J8">
        <v>0.68</v>
      </c>
      <c r="K8">
        <v>0.62</v>
      </c>
      <c r="L8">
        <v>0.77</v>
      </c>
      <c r="M8">
        <v>0.64</v>
      </c>
      <c r="N8">
        <v>0.64</v>
      </c>
      <c r="O8">
        <v>0.64</v>
      </c>
      <c r="P8">
        <v>0.54</v>
      </c>
      <c r="Q8">
        <v>0.54</v>
      </c>
      <c r="R8">
        <v>0.56999999999999995</v>
      </c>
      <c r="S8">
        <v>0.47</v>
      </c>
      <c r="T8" t="s">
        <v>27</v>
      </c>
      <c r="U8" t="s">
        <v>30</v>
      </c>
      <c r="W8" s="1"/>
      <c r="X8" s="1"/>
    </row>
    <row r="9" spans="1:24" x14ac:dyDescent="0.25">
      <c r="A9" t="s">
        <v>21</v>
      </c>
      <c r="B9" t="s">
        <v>22</v>
      </c>
      <c r="C9" t="s">
        <v>23</v>
      </c>
      <c r="D9" t="s">
        <v>66</v>
      </c>
      <c r="E9" t="s">
        <v>67</v>
      </c>
      <c r="F9">
        <v>0.67</v>
      </c>
      <c r="G9">
        <v>0.6</v>
      </c>
      <c r="H9">
        <v>0.8</v>
      </c>
      <c r="I9">
        <v>0.64</v>
      </c>
      <c r="J9">
        <v>0.7</v>
      </c>
      <c r="K9">
        <v>0.66</v>
      </c>
      <c r="L9">
        <v>0.73</v>
      </c>
      <c r="M9">
        <v>0.62</v>
      </c>
      <c r="N9">
        <v>0.68</v>
      </c>
      <c r="O9">
        <v>0.6</v>
      </c>
      <c r="P9">
        <v>0.53</v>
      </c>
      <c r="Q9">
        <v>0.55000000000000004</v>
      </c>
      <c r="R9">
        <v>0.56999999999999995</v>
      </c>
      <c r="S9">
        <v>0.5</v>
      </c>
      <c r="T9" t="s">
        <v>34</v>
      </c>
      <c r="U9" t="s">
        <v>34</v>
      </c>
      <c r="W9" s="1"/>
      <c r="X9" s="1"/>
    </row>
    <row r="10" spans="1:24" x14ac:dyDescent="0.25">
      <c r="A10" t="s">
        <v>21</v>
      </c>
      <c r="B10" t="s">
        <v>22</v>
      </c>
      <c r="C10" t="s">
        <v>23</v>
      </c>
      <c r="D10" t="s">
        <v>69</v>
      </c>
      <c r="E10" t="s">
        <v>70</v>
      </c>
      <c r="F10">
        <v>0.67</v>
      </c>
      <c r="G10">
        <v>0.61</v>
      </c>
      <c r="H10">
        <v>0.82</v>
      </c>
      <c r="I10">
        <v>0.72</v>
      </c>
      <c r="J10">
        <v>0.71</v>
      </c>
      <c r="K10">
        <v>0.63</v>
      </c>
      <c r="L10">
        <v>0.71</v>
      </c>
      <c r="M10">
        <v>0.57999999999999996</v>
      </c>
      <c r="N10">
        <v>0.66</v>
      </c>
      <c r="O10">
        <v>0.61</v>
      </c>
      <c r="P10">
        <v>0.55000000000000004</v>
      </c>
      <c r="Q10">
        <v>0.6</v>
      </c>
      <c r="R10">
        <v>0.56000000000000005</v>
      </c>
      <c r="S10">
        <v>0.51</v>
      </c>
      <c r="T10" t="s">
        <v>43</v>
      </c>
      <c r="U10" t="s">
        <v>33</v>
      </c>
      <c r="W10" s="1"/>
      <c r="X10" s="1"/>
    </row>
    <row r="11" spans="1:24" x14ac:dyDescent="0.25">
      <c r="A11" t="s">
        <v>21</v>
      </c>
      <c r="B11" t="s">
        <v>22</v>
      </c>
      <c r="C11" t="s">
        <v>23</v>
      </c>
      <c r="D11" t="s">
        <v>72</v>
      </c>
      <c r="E11" t="s">
        <v>73</v>
      </c>
      <c r="F11">
        <v>0.66</v>
      </c>
      <c r="G11">
        <v>0.6</v>
      </c>
      <c r="H11">
        <v>0.86</v>
      </c>
      <c r="I11">
        <v>0.69</v>
      </c>
      <c r="J11">
        <v>0.59</v>
      </c>
      <c r="K11">
        <v>0.57999999999999996</v>
      </c>
      <c r="L11">
        <v>0.75</v>
      </c>
      <c r="M11">
        <v>0.56000000000000005</v>
      </c>
      <c r="N11">
        <v>0.61</v>
      </c>
      <c r="O11">
        <v>0.65</v>
      </c>
      <c r="P11">
        <v>0.57999999999999996</v>
      </c>
      <c r="Q11">
        <v>0.6</v>
      </c>
      <c r="R11">
        <v>0.59</v>
      </c>
      <c r="S11">
        <v>0.51</v>
      </c>
      <c r="T11" t="s">
        <v>46</v>
      </c>
      <c r="U11" t="s">
        <v>46</v>
      </c>
      <c r="W11" s="1"/>
      <c r="X11" s="1"/>
    </row>
    <row r="13" spans="1:24" x14ac:dyDescent="0.25">
      <c r="A13" t="s">
        <v>21</v>
      </c>
      <c r="B13" t="s">
        <v>74</v>
      </c>
      <c r="C13" t="s">
        <v>75</v>
      </c>
      <c r="D13" t="s">
        <v>76</v>
      </c>
      <c r="E13" t="s">
        <v>77</v>
      </c>
      <c r="F13">
        <v>0.8</v>
      </c>
      <c r="G13">
        <v>0.73</v>
      </c>
      <c r="H13">
        <v>0.87</v>
      </c>
      <c r="I13">
        <v>0.77</v>
      </c>
      <c r="J13">
        <v>0.79</v>
      </c>
      <c r="K13">
        <v>0.71</v>
      </c>
      <c r="L13">
        <v>0.85</v>
      </c>
      <c r="M13">
        <v>0.71</v>
      </c>
      <c r="N13">
        <v>0.7</v>
      </c>
      <c r="O13">
        <v>0.75</v>
      </c>
      <c r="P13">
        <v>0.71</v>
      </c>
      <c r="Q13">
        <v>0.7</v>
      </c>
      <c r="R13">
        <v>0.87</v>
      </c>
      <c r="S13">
        <v>0.72</v>
      </c>
      <c r="T13" t="s">
        <v>40</v>
      </c>
      <c r="U13" t="s">
        <v>34</v>
      </c>
      <c r="W13" s="1">
        <f>(H13+L13+P13+R13)/4</f>
        <v>0.82499999999999996</v>
      </c>
      <c r="X13" s="1">
        <f>(I13+M13+Q13+S13)/4</f>
        <v>0.72499999999999987</v>
      </c>
    </row>
    <row r="14" spans="1:24" x14ac:dyDescent="0.25">
      <c r="A14" t="s">
        <v>21</v>
      </c>
      <c r="B14" t="s">
        <v>74</v>
      </c>
      <c r="C14" t="s">
        <v>75</v>
      </c>
      <c r="D14" t="s">
        <v>78</v>
      </c>
      <c r="E14" t="s">
        <v>75</v>
      </c>
      <c r="F14">
        <v>0.79</v>
      </c>
      <c r="G14">
        <v>0.73</v>
      </c>
      <c r="H14">
        <v>1</v>
      </c>
      <c r="I14" t="s">
        <v>79</v>
      </c>
      <c r="J14">
        <v>0.74</v>
      </c>
      <c r="K14" t="s">
        <v>41</v>
      </c>
      <c r="L14">
        <v>0.83</v>
      </c>
      <c r="M14" t="s">
        <v>53</v>
      </c>
      <c r="N14">
        <v>0.69</v>
      </c>
      <c r="O14" t="s">
        <v>64</v>
      </c>
      <c r="P14">
        <v>0.64</v>
      </c>
      <c r="Q14" t="s">
        <v>34</v>
      </c>
      <c r="R14">
        <v>0.83</v>
      </c>
      <c r="S14" t="s">
        <v>30</v>
      </c>
      <c r="T14" t="s">
        <v>42</v>
      </c>
      <c r="U14" t="s">
        <v>35</v>
      </c>
    </row>
    <row r="15" spans="1:24" x14ac:dyDescent="0.25">
      <c r="A15" t="s">
        <v>21</v>
      </c>
      <c r="B15" t="s">
        <v>74</v>
      </c>
      <c r="C15" t="s">
        <v>75</v>
      </c>
      <c r="D15" t="s">
        <v>81</v>
      </c>
      <c r="E15" t="s">
        <v>75</v>
      </c>
      <c r="F15">
        <v>0.79</v>
      </c>
      <c r="G15">
        <v>0.74</v>
      </c>
      <c r="H15">
        <v>1</v>
      </c>
      <c r="I15" t="s">
        <v>79</v>
      </c>
      <c r="J15">
        <v>0.72</v>
      </c>
      <c r="K15" t="s">
        <v>30</v>
      </c>
      <c r="L15">
        <v>0.83</v>
      </c>
      <c r="M15" t="s">
        <v>40</v>
      </c>
      <c r="N15">
        <v>0.69</v>
      </c>
      <c r="O15" t="s">
        <v>64</v>
      </c>
      <c r="P15">
        <v>0.69</v>
      </c>
      <c r="Q15" t="s">
        <v>26</v>
      </c>
      <c r="R15">
        <v>0.81</v>
      </c>
      <c r="S15" t="s">
        <v>42</v>
      </c>
      <c r="T15" t="s">
        <v>30</v>
      </c>
      <c r="U15" t="s">
        <v>43</v>
      </c>
    </row>
    <row r="16" spans="1:24" x14ac:dyDescent="0.25">
      <c r="A16" t="s">
        <v>21</v>
      </c>
      <c r="B16" t="s">
        <v>74</v>
      </c>
      <c r="C16" t="s">
        <v>75</v>
      </c>
      <c r="D16" t="s">
        <v>82</v>
      </c>
      <c r="E16" t="s">
        <v>75</v>
      </c>
      <c r="F16">
        <v>0.77</v>
      </c>
      <c r="G16">
        <v>0.68</v>
      </c>
      <c r="H16">
        <v>1</v>
      </c>
      <c r="I16" t="s">
        <v>79</v>
      </c>
      <c r="J16">
        <v>0.72</v>
      </c>
      <c r="K16" t="s">
        <v>33</v>
      </c>
      <c r="L16">
        <v>0.82</v>
      </c>
      <c r="M16" t="s">
        <v>35</v>
      </c>
      <c r="N16">
        <v>0.67</v>
      </c>
      <c r="O16" t="s">
        <v>71</v>
      </c>
      <c r="P16">
        <v>0.56000000000000005</v>
      </c>
      <c r="Q16" t="s">
        <v>83</v>
      </c>
      <c r="R16">
        <v>0.82</v>
      </c>
      <c r="S16" t="s">
        <v>33</v>
      </c>
      <c r="T16" t="s">
        <v>41</v>
      </c>
      <c r="U16" t="s">
        <v>44</v>
      </c>
    </row>
    <row r="17" spans="1:24" x14ac:dyDescent="0.25">
      <c r="A17" t="s">
        <v>21</v>
      </c>
      <c r="B17" t="s">
        <v>74</v>
      </c>
      <c r="C17" t="s">
        <v>75</v>
      </c>
      <c r="D17" t="s">
        <v>84</v>
      </c>
      <c r="E17" t="s">
        <v>85</v>
      </c>
      <c r="F17">
        <v>0.73</v>
      </c>
      <c r="G17">
        <v>0.67</v>
      </c>
      <c r="H17">
        <v>0.9</v>
      </c>
      <c r="I17" t="s">
        <v>86</v>
      </c>
      <c r="J17">
        <v>0.66</v>
      </c>
      <c r="K17" t="s">
        <v>55</v>
      </c>
      <c r="L17">
        <v>0.77</v>
      </c>
      <c r="M17" t="s">
        <v>32</v>
      </c>
      <c r="N17">
        <v>0.69</v>
      </c>
      <c r="O17" t="s">
        <v>31</v>
      </c>
      <c r="P17">
        <v>0.55000000000000004</v>
      </c>
      <c r="Q17" t="s">
        <v>68</v>
      </c>
      <c r="R17">
        <v>0.8</v>
      </c>
      <c r="S17" t="s">
        <v>30</v>
      </c>
      <c r="T17" t="s">
        <v>71</v>
      </c>
      <c r="U17" t="s">
        <v>35</v>
      </c>
    </row>
    <row r="18" spans="1:24" x14ac:dyDescent="0.25">
      <c r="A18" t="s">
        <v>21</v>
      </c>
      <c r="B18" t="s">
        <v>74</v>
      </c>
      <c r="C18" t="s">
        <v>75</v>
      </c>
      <c r="D18" t="s">
        <v>87</v>
      </c>
      <c r="E18" t="s">
        <v>88</v>
      </c>
      <c r="F18">
        <v>0.71</v>
      </c>
      <c r="G18">
        <v>0.65</v>
      </c>
      <c r="H18">
        <v>0.79</v>
      </c>
      <c r="I18" t="s">
        <v>43</v>
      </c>
      <c r="J18">
        <v>0.64</v>
      </c>
      <c r="K18" t="s">
        <v>45</v>
      </c>
      <c r="L18">
        <v>0.78</v>
      </c>
      <c r="M18" t="s">
        <v>40</v>
      </c>
      <c r="N18">
        <v>0.62</v>
      </c>
      <c r="O18" t="s">
        <v>40</v>
      </c>
      <c r="P18">
        <v>0.56999999999999995</v>
      </c>
      <c r="Q18" t="s">
        <v>35</v>
      </c>
      <c r="R18">
        <v>0.83</v>
      </c>
      <c r="S18" t="s">
        <v>53</v>
      </c>
      <c r="T18" t="s">
        <v>36</v>
      </c>
      <c r="U18" t="s">
        <v>60</v>
      </c>
    </row>
    <row r="19" spans="1:24" x14ac:dyDescent="0.25">
      <c r="A19" t="s">
        <v>21</v>
      </c>
      <c r="B19" t="s">
        <v>74</v>
      </c>
      <c r="C19" t="s">
        <v>75</v>
      </c>
      <c r="D19" t="s">
        <v>89</v>
      </c>
      <c r="E19" t="s">
        <v>90</v>
      </c>
      <c r="F19">
        <v>0.69</v>
      </c>
      <c r="G19">
        <v>0.63</v>
      </c>
      <c r="H19">
        <v>0.77</v>
      </c>
      <c r="I19" t="s">
        <v>43</v>
      </c>
      <c r="J19">
        <v>0.65</v>
      </c>
      <c r="K19" t="s">
        <v>45</v>
      </c>
      <c r="L19">
        <v>0.71</v>
      </c>
      <c r="M19" t="s">
        <v>27</v>
      </c>
      <c r="N19">
        <v>0.59</v>
      </c>
      <c r="O19" t="s">
        <v>34</v>
      </c>
      <c r="P19">
        <v>0.62</v>
      </c>
      <c r="Q19" t="s">
        <v>53</v>
      </c>
      <c r="R19">
        <v>0.8</v>
      </c>
      <c r="S19" t="s">
        <v>30</v>
      </c>
      <c r="T19" t="s">
        <v>45</v>
      </c>
      <c r="U19" t="s">
        <v>91</v>
      </c>
    </row>
    <row r="21" spans="1:24" x14ac:dyDescent="0.25">
      <c r="A21" t="s">
        <v>21</v>
      </c>
      <c r="B21" t="s">
        <v>92</v>
      </c>
      <c r="C21" t="s">
        <v>93</v>
      </c>
      <c r="D21" t="s">
        <v>94</v>
      </c>
      <c r="E21" t="s">
        <v>95</v>
      </c>
      <c r="F21">
        <v>0.72</v>
      </c>
      <c r="G21">
        <v>0.65</v>
      </c>
      <c r="H21">
        <v>0.78</v>
      </c>
      <c r="I21">
        <v>0.61</v>
      </c>
      <c r="J21">
        <v>0.76</v>
      </c>
      <c r="K21">
        <v>0.69</v>
      </c>
      <c r="L21">
        <v>0.83</v>
      </c>
      <c r="M21">
        <v>0.74</v>
      </c>
      <c r="N21">
        <v>0.64</v>
      </c>
      <c r="O21">
        <v>0.65</v>
      </c>
      <c r="P21">
        <v>0.59</v>
      </c>
      <c r="Q21">
        <v>0.59</v>
      </c>
      <c r="R21">
        <v>0.74</v>
      </c>
      <c r="S21">
        <v>0.64</v>
      </c>
      <c r="T21" t="s">
        <v>35</v>
      </c>
      <c r="U21" t="s">
        <v>45</v>
      </c>
      <c r="W21" s="1">
        <f>(H21+L21+P21+S21)/4</f>
        <v>0.71</v>
      </c>
      <c r="X21" s="1">
        <f>(I21+M21+Q21+S21)/4</f>
        <v>0.64500000000000002</v>
      </c>
    </row>
    <row r="22" spans="1:24" x14ac:dyDescent="0.25">
      <c r="A22" t="s">
        <v>21</v>
      </c>
      <c r="B22" t="s">
        <v>92</v>
      </c>
      <c r="C22" t="s">
        <v>93</v>
      </c>
      <c r="D22" t="s">
        <v>96</v>
      </c>
      <c r="E22" t="s">
        <v>97</v>
      </c>
      <c r="F22">
        <v>0.71</v>
      </c>
      <c r="G22">
        <v>0.66</v>
      </c>
      <c r="H22">
        <v>0.68</v>
      </c>
      <c r="I22" t="s">
        <v>83</v>
      </c>
      <c r="J22">
        <v>0.71</v>
      </c>
      <c r="K22" t="s">
        <v>29</v>
      </c>
      <c r="L22">
        <v>0.82</v>
      </c>
      <c r="M22" t="s">
        <v>28</v>
      </c>
      <c r="N22">
        <v>0.64</v>
      </c>
      <c r="O22" t="s">
        <v>41</v>
      </c>
      <c r="P22">
        <v>0.64</v>
      </c>
      <c r="Q22" t="s">
        <v>55</v>
      </c>
      <c r="R22">
        <v>0.76</v>
      </c>
      <c r="S22" t="s">
        <v>80</v>
      </c>
      <c r="T22" t="s">
        <v>27</v>
      </c>
      <c r="U22" t="s">
        <v>55</v>
      </c>
    </row>
    <row r="23" spans="1:24" x14ac:dyDescent="0.25">
      <c r="A23" t="s">
        <v>21</v>
      </c>
      <c r="B23" t="s">
        <v>92</v>
      </c>
      <c r="C23" t="s">
        <v>93</v>
      </c>
      <c r="D23" t="s">
        <v>98</v>
      </c>
      <c r="E23" t="s">
        <v>99</v>
      </c>
      <c r="F23">
        <v>0.7</v>
      </c>
      <c r="G23">
        <v>0.65</v>
      </c>
      <c r="H23">
        <v>0.72</v>
      </c>
      <c r="I23" t="s">
        <v>44</v>
      </c>
      <c r="J23">
        <v>0.67</v>
      </c>
      <c r="K23" t="s">
        <v>32</v>
      </c>
      <c r="L23">
        <v>0.76</v>
      </c>
      <c r="M23" t="s">
        <v>53</v>
      </c>
      <c r="N23">
        <v>0.69</v>
      </c>
      <c r="O23" t="s">
        <v>26</v>
      </c>
      <c r="P23">
        <v>0.6</v>
      </c>
      <c r="Q23" t="s">
        <v>46</v>
      </c>
      <c r="R23">
        <v>0.74</v>
      </c>
      <c r="S23" t="s">
        <v>40</v>
      </c>
      <c r="T23" t="s">
        <v>30</v>
      </c>
      <c r="U23" t="s">
        <v>61</v>
      </c>
    </row>
    <row r="24" spans="1:24" x14ac:dyDescent="0.25">
      <c r="A24" t="s">
        <v>21</v>
      </c>
      <c r="B24" t="s">
        <v>92</v>
      </c>
      <c r="C24" t="s">
        <v>93</v>
      </c>
      <c r="D24" t="s">
        <v>100</v>
      </c>
      <c r="E24" t="s">
        <v>101</v>
      </c>
      <c r="F24">
        <v>0.7</v>
      </c>
      <c r="G24">
        <v>0.63</v>
      </c>
      <c r="H24">
        <v>0.78</v>
      </c>
      <c r="I24" t="s">
        <v>65</v>
      </c>
      <c r="J24">
        <v>0.66</v>
      </c>
      <c r="K24" t="s">
        <v>40</v>
      </c>
      <c r="L24">
        <v>0.78</v>
      </c>
      <c r="M24" t="s">
        <v>31</v>
      </c>
      <c r="N24">
        <v>0.66</v>
      </c>
      <c r="O24" t="s">
        <v>30</v>
      </c>
      <c r="P24">
        <v>0.57999999999999996</v>
      </c>
      <c r="Q24" t="s">
        <v>54</v>
      </c>
      <c r="R24">
        <v>0.75</v>
      </c>
      <c r="S24" t="s">
        <v>40</v>
      </c>
      <c r="T24" t="s">
        <v>40</v>
      </c>
      <c r="U24" t="s">
        <v>55</v>
      </c>
    </row>
    <row r="25" spans="1:24" x14ac:dyDescent="0.25">
      <c r="A25" t="s">
        <v>21</v>
      </c>
      <c r="B25" t="s">
        <v>92</v>
      </c>
      <c r="C25" t="s">
        <v>93</v>
      </c>
      <c r="D25" t="s">
        <v>102</v>
      </c>
      <c r="E25" t="s">
        <v>103</v>
      </c>
      <c r="F25">
        <v>0.66</v>
      </c>
      <c r="G25">
        <v>0.6</v>
      </c>
      <c r="H25">
        <v>0.74</v>
      </c>
      <c r="I25" t="s">
        <v>46</v>
      </c>
      <c r="J25">
        <v>0.61</v>
      </c>
      <c r="K25" t="s">
        <v>36</v>
      </c>
      <c r="L25">
        <v>0.74</v>
      </c>
      <c r="M25" t="s">
        <v>26</v>
      </c>
      <c r="N25">
        <v>0.6</v>
      </c>
      <c r="O25" t="s">
        <v>37</v>
      </c>
      <c r="P25">
        <v>0.56000000000000005</v>
      </c>
      <c r="Q25" t="s">
        <v>91</v>
      </c>
      <c r="R25">
        <v>0.73</v>
      </c>
      <c r="S25" t="s">
        <v>40</v>
      </c>
      <c r="T25" t="s">
        <v>30</v>
      </c>
      <c r="U25" t="s">
        <v>55</v>
      </c>
    </row>
    <row r="26" spans="1:24" x14ac:dyDescent="0.25">
      <c r="A26" t="s">
        <v>21</v>
      </c>
      <c r="B26" t="s">
        <v>92</v>
      </c>
      <c r="C26" t="s">
        <v>93</v>
      </c>
      <c r="D26" t="s">
        <v>104</v>
      </c>
      <c r="E26" t="s">
        <v>105</v>
      </c>
      <c r="F26">
        <v>0.66</v>
      </c>
      <c r="G26">
        <v>0.61</v>
      </c>
      <c r="H26">
        <v>0.65</v>
      </c>
      <c r="I26" t="s">
        <v>65</v>
      </c>
      <c r="J26">
        <v>0.68</v>
      </c>
      <c r="K26" t="s">
        <v>32</v>
      </c>
      <c r="L26">
        <v>0.79</v>
      </c>
      <c r="M26" t="s">
        <v>64</v>
      </c>
      <c r="N26">
        <v>0.56000000000000005</v>
      </c>
      <c r="O26" t="s">
        <v>61</v>
      </c>
      <c r="P26">
        <v>0.51</v>
      </c>
      <c r="Q26" t="s">
        <v>91</v>
      </c>
      <c r="R26">
        <v>0.75</v>
      </c>
      <c r="S26" t="s">
        <v>26</v>
      </c>
      <c r="T26" t="s">
        <v>71</v>
      </c>
      <c r="U26" t="s">
        <v>27</v>
      </c>
    </row>
    <row r="27" spans="1:24" x14ac:dyDescent="0.25">
      <c r="A27" t="s">
        <v>21</v>
      </c>
      <c r="B27" t="s">
        <v>92</v>
      </c>
      <c r="C27" t="s">
        <v>93</v>
      </c>
      <c r="D27" t="s">
        <v>106</v>
      </c>
      <c r="E27" t="s">
        <v>107</v>
      </c>
      <c r="F27">
        <v>0.64</v>
      </c>
      <c r="G27">
        <v>0.57999999999999996</v>
      </c>
      <c r="H27">
        <v>0.66</v>
      </c>
      <c r="I27" t="s">
        <v>54</v>
      </c>
      <c r="J27">
        <v>0.63</v>
      </c>
      <c r="K27" t="s">
        <v>35</v>
      </c>
      <c r="L27">
        <v>0.75</v>
      </c>
      <c r="M27" t="s">
        <v>42</v>
      </c>
      <c r="N27">
        <v>0.59</v>
      </c>
      <c r="O27" t="s">
        <v>68</v>
      </c>
      <c r="P27">
        <v>0.51</v>
      </c>
      <c r="Q27" t="s">
        <v>91</v>
      </c>
      <c r="R27">
        <v>0.7</v>
      </c>
      <c r="S27" t="s">
        <v>30</v>
      </c>
      <c r="T27" t="s">
        <v>27</v>
      </c>
      <c r="U27" t="s">
        <v>34</v>
      </c>
    </row>
    <row r="29" spans="1:24" x14ac:dyDescent="0.25">
      <c r="A29" t="s">
        <v>21</v>
      </c>
      <c r="B29" t="s">
        <v>108</v>
      </c>
      <c r="C29" t="s">
        <v>109</v>
      </c>
      <c r="D29" t="s">
        <v>98</v>
      </c>
      <c r="E29" t="s">
        <v>110</v>
      </c>
      <c r="F29">
        <v>0.77</v>
      </c>
      <c r="G29">
        <v>0.69</v>
      </c>
      <c r="H29">
        <v>0.89</v>
      </c>
      <c r="I29">
        <v>0.81</v>
      </c>
      <c r="J29">
        <v>0.76</v>
      </c>
      <c r="K29">
        <v>0.66</v>
      </c>
      <c r="L29">
        <v>0.8</v>
      </c>
      <c r="M29">
        <v>0.72</v>
      </c>
      <c r="N29">
        <v>0.76</v>
      </c>
      <c r="O29">
        <v>0.71</v>
      </c>
      <c r="P29">
        <v>0.72</v>
      </c>
      <c r="Q29">
        <v>0.7</v>
      </c>
      <c r="R29">
        <v>0.66</v>
      </c>
      <c r="S29">
        <v>0.53</v>
      </c>
      <c r="T29" t="s">
        <v>55</v>
      </c>
      <c r="U29" t="s">
        <v>91</v>
      </c>
      <c r="W29" s="1">
        <f>(H29+L29+P29+R29)/4</f>
        <v>0.76750000000000007</v>
      </c>
      <c r="X29" s="1">
        <f>(I29+M29+Q29+S29)/4</f>
        <v>0.69</v>
      </c>
    </row>
    <row r="30" spans="1:24" x14ac:dyDescent="0.25">
      <c r="A30" t="s">
        <v>21</v>
      </c>
      <c r="B30" t="s">
        <v>108</v>
      </c>
      <c r="C30" t="s">
        <v>109</v>
      </c>
      <c r="D30" t="s">
        <v>111</v>
      </c>
      <c r="E30" t="s">
        <v>109</v>
      </c>
      <c r="F30">
        <v>0.75</v>
      </c>
      <c r="G30">
        <v>0.69</v>
      </c>
      <c r="H30">
        <v>1</v>
      </c>
      <c r="I30" t="s">
        <v>79</v>
      </c>
      <c r="J30">
        <v>0.65</v>
      </c>
      <c r="K30" t="s">
        <v>44</v>
      </c>
      <c r="L30">
        <v>0.74</v>
      </c>
      <c r="M30" t="s">
        <v>26</v>
      </c>
      <c r="N30">
        <v>0.78</v>
      </c>
      <c r="O30" t="s">
        <v>50</v>
      </c>
      <c r="P30">
        <v>0.68</v>
      </c>
      <c r="Q30" t="s">
        <v>34</v>
      </c>
      <c r="R30">
        <v>0.65</v>
      </c>
      <c r="S30" t="s">
        <v>44</v>
      </c>
      <c r="T30" t="s">
        <v>55</v>
      </c>
      <c r="U30" t="s">
        <v>60</v>
      </c>
    </row>
    <row r="31" spans="1:24" x14ac:dyDescent="0.25">
      <c r="A31" t="s">
        <v>21</v>
      </c>
      <c r="B31" t="s">
        <v>108</v>
      </c>
      <c r="C31" t="s">
        <v>109</v>
      </c>
      <c r="D31" t="s">
        <v>112</v>
      </c>
      <c r="E31" t="s">
        <v>113</v>
      </c>
      <c r="F31">
        <v>0.74</v>
      </c>
      <c r="G31">
        <v>0.66</v>
      </c>
      <c r="H31">
        <v>0.85</v>
      </c>
      <c r="I31" t="s">
        <v>80</v>
      </c>
      <c r="J31">
        <v>0.71</v>
      </c>
      <c r="K31" t="s">
        <v>27</v>
      </c>
      <c r="L31">
        <v>0.74</v>
      </c>
      <c r="M31" t="s">
        <v>27</v>
      </c>
      <c r="N31">
        <v>0.75</v>
      </c>
      <c r="O31" t="s">
        <v>40</v>
      </c>
      <c r="P31">
        <v>0.67</v>
      </c>
      <c r="Q31" t="s">
        <v>33</v>
      </c>
      <c r="R31">
        <v>0.71</v>
      </c>
      <c r="S31" t="s">
        <v>30</v>
      </c>
      <c r="T31" t="s">
        <v>43</v>
      </c>
      <c r="U31" t="s">
        <v>46</v>
      </c>
    </row>
    <row r="32" spans="1:24" x14ac:dyDescent="0.25">
      <c r="A32" t="s">
        <v>21</v>
      </c>
      <c r="B32" t="s">
        <v>108</v>
      </c>
      <c r="C32" t="s">
        <v>109</v>
      </c>
      <c r="D32" t="s">
        <v>114</v>
      </c>
      <c r="E32" t="s">
        <v>115</v>
      </c>
      <c r="F32">
        <v>0.74</v>
      </c>
      <c r="G32">
        <v>0.66</v>
      </c>
      <c r="H32">
        <v>0.79</v>
      </c>
      <c r="I32" t="s">
        <v>43</v>
      </c>
      <c r="J32">
        <v>0.72</v>
      </c>
      <c r="K32" t="s">
        <v>30</v>
      </c>
      <c r="L32">
        <v>0.81</v>
      </c>
      <c r="M32" t="s">
        <v>31</v>
      </c>
      <c r="N32">
        <v>0.75</v>
      </c>
      <c r="O32" t="s">
        <v>40</v>
      </c>
      <c r="P32">
        <v>0.69</v>
      </c>
      <c r="Q32" t="s">
        <v>35</v>
      </c>
      <c r="R32">
        <v>0.69</v>
      </c>
      <c r="S32" t="s">
        <v>33</v>
      </c>
      <c r="T32" t="s">
        <v>36</v>
      </c>
      <c r="U32" t="s">
        <v>68</v>
      </c>
    </row>
    <row r="33" spans="1:24" x14ac:dyDescent="0.25">
      <c r="A33" t="s">
        <v>21</v>
      </c>
      <c r="B33" t="s">
        <v>108</v>
      </c>
      <c r="C33" t="s">
        <v>109</v>
      </c>
      <c r="D33" t="s">
        <v>116</v>
      </c>
      <c r="E33" t="s">
        <v>117</v>
      </c>
      <c r="F33">
        <v>0.7</v>
      </c>
      <c r="G33">
        <v>0.59</v>
      </c>
      <c r="H33">
        <v>0.77</v>
      </c>
      <c r="I33" t="s">
        <v>33</v>
      </c>
      <c r="J33">
        <v>0.75</v>
      </c>
      <c r="K33" t="s">
        <v>33</v>
      </c>
      <c r="L33">
        <v>0.75</v>
      </c>
      <c r="M33" t="s">
        <v>27</v>
      </c>
      <c r="N33">
        <v>0.63</v>
      </c>
      <c r="O33" t="s">
        <v>54</v>
      </c>
      <c r="P33">
        <v>0.63</v>
      </c>
      <c r="Q33" t="s">
        <v>34</v>
      </c>
      <c r="R33">
        <v>0.68</v>
      </c>
      <c r="S33" t="s">
        <v>68</v>
      </c>
      <c r="T33" t="s">
        <v>43</v>
      </c>
      <c r="U33" t="s">
        <v>68</v>
      </c>
    </row>
    <row r="34" spans="1:24" x14ac:dyDescent="0.25">
      <c r="A34" t="s">
        <v>21</v>
      </c>
      <c r="B34" t="s">
        <v>108</v>
      </c>
      <c r="C34" t="s">
        <v>109</v>
      </c>
      <c r="D34" t="s">
        <v>118</v>
      </c>
      <c r="E34" t="s">
        <v>119</v>
      </c>
      <c r="F34">
        <v>0.68</v>
      </c>
      <c r="G34">
        <v>0.55000000000000004</v>
      </c>
      <c r="H34">
        <v>0.77</v>
      </c>
      <c r="I34" t="s">
        <v>27</v>
      </c>
      <c r="J34">
        <v>0.7</v>
      </c>
      <c r="K34" t="s">
        <v>46</v>
      </c>
      <c r="L34">
        <v>0.82</v>
      </c>
      <c r="M34" t="s">
        <v>32</v>
      </c>
      <c r="N34">
        <v>0.56000000000000005</v>
      </c>
      <c r="O34" t="s">
        <v>120</v>
      </c>
      <c r="P34">
        <v>0.52</v>
      </c>
      <c r="Q34" t="s">
        <v>83</v>
      </c>
      <c r="R34">
        <v>0.68</v>
      </c>
      <c r="S34" t="s">
        <v>55</v>
      </c>
      <c r="T34" t="s">
        <v>44</v>
      </c>
      <c r="U34" t="s">
        <v>83</v>
      </c>
    </row>
    <row r="35" spans="1:24" x14ac:dyDescent="0.25">
      <c r="A35" t="s">
        <v>21</v>
      </c>
      <c r="B35" t="s">
        <v>108</v>
      </c>
      <c r="C35" t="s">
        <v>109</v>
      </c>
      <c r="D35" t="s">
        <v>121</v>
      </c>
      <c r="E35" t="s">
        <v>122</v>
      </c>
      <c r="F35">
        <v>0.67</v>
      </c>
      <c r="G35">
        <v>0.54</v>
      </c>
      <c r="H35">
        <v>0.78</v>
      </c>
      <c r="I35" t="s">
        <v>46</v>
      </c>
      <c r="J35">
        <v>0.65</v>
      </c>
      <c r="K35" t="s">
        <v>55</v>
      </c>
      <c r="L35">
        <v>0.82</v>
      </c>
      <c r="M35" t="s">
        <v>80</v>
      </c>
      <c r="N35">
        <v>0.55000000000000004</v>
      </c>
      <c r="O35" t="s">
        <v>120</v>
      </c>
      <c r="P35">
        <v>0.53</v>
      </c>
      <c r="Q35" t="s">
        <v>123</v>
      </c>
      <c r="R35">
        <v>0.71</v>
      </c>
      <c r="S35" t="s">
        <v>43</v>
      </c>
      <c r="T35" t="s">
        <v>45</v>
      </c>
      <c r="U35" t="s">
        <v>46</v>
      </c>
    </row>
    <row r="37" spans="1:24" x14ac:dyDescent="0.25">
      <c r="A37" t="s">
        <v>21</v>
      </c>
      <c r="B37" t="s">
        <v>124</v>
      </c>
      <c r="C37" t="s">
        <v>125</v>
      </c>
      <c r="D37" t="s">
        <v>126</v>
      </c>
      <c r="E37" t="s">
        <v>127</v>
      </c>
      <c r="F37">
        <v>0.8</v>
      </c>
      <c r="G37">
        <v>0.68</v>
      </c>
      <c r="H37">
        <v>0.92</v>
      </c>
      <c r="I37">
        <v>0.74</v>
      </c>
      <c r="J37">
        <v>0.7</v>
      </c>
      <c r="K37">
        <v>0.55000000000000004</v>
      </c>
      <c r="L37">
        <v>0.75</v>
      </c>
      <c r="M37">
        <v>0.59</v>
      </c>
      <c r="N37">
        <v>0.69</v>
      </c>
      <c r="O37" t="s">
        <v>42</v>
      </c>
      <c r="P37">
        <v>0.82</v>
      </c>
      <c r="Q37">
        <v>0.7</v>
      </c>
      <c r="R37">
        <v>0.89</v>
      </c>
      <c r="S37">
        <v>0.84</v>
      </c>
      <c r="T37" t="s">
        <v>42</v>
      </c>
      <c r="U37" t="s">
        <v>46</v>
      </c>
      <c r="W37" s="1">
        <f>(H37+L37+P37+R37)/4</f>
        <v>0.84499999999999997</v>
      </c>
      <c r="X37" s="1">
        <f>(I37+M37+Q37+S37)/4</f>
        <v>0.71750000000000003</v>
      </c>
    </row>
    <row r="38" spans="1:24" x14ac:dyDescent="0.25">
      <c r="A38" t="s">
        <v>21</v>
      </c>
      <c r="B38" t="s">
        <v>124</v>
      </c>
      <c r="C38" t="s">
        <v>125</v>
      </c>
      <c r="D38" t="s">
        <v>128</v>
      </c>
      <c r="E38" t="s">
        <v>129</v>
      </c>
      <c r="F38">
        <v>0.79</v>
      </c>
      <c r="G38">
        <v>0.68</v>
      </c>
      <c r="H38">
        <v>0.89</v>
      </c>
      <c r="I38" t="s">
        <v>52</v>
      </c>
      <c r="J38">
        <v>0.73</v>
      </c>
      <c r="K38" t="s">
        <v>44</v>
      </c>
      <c r="L38">
        <v>0.75</v>
      </c>
      <c r="M38" t="s">
        <v>27</v>
      </c>
      <c r="N38">
        <v>0.76</v>
      </c>
      <c r="O38" t="s">
        <v>29</v>
      </c>
      <c r="P38" t="s">
        <v>28</v>
      </c>
      <c r="Q38" t="s">
        <v>29</v>
      </c>
      <c r="R38">
        <v>0.82</v>
      </c>
      <c r="S38" t="s">
        <v>41</v>
      </c>
      <c r="T38" t="s">
        <v>34</v>
      </c>
      <c r="U38" t="s">
        <v>123</v>
      </c>
    </row>
    <row r="39" spans="1:24" x14ac:dyDescent="0.25">
      <c r="A39" t="s">
        <v>21</v>
      </c>
      <c r="B39" t="s">
        <v>124</v>
      </c>
      <c r="C39" t="s">
        <v>125</v>
      </c>
      <c r="D39" t="s">
        <v>130</v>
      </c>
      <c r="E39" t="s">
        <v>131</v>
      </c>
      <c r="F39">
        <v>0.79</v>
      </c>
      <c r="G39">
        <v>0.73</v>
      </c>
      <c r="H39">
        <v>0.97</v>
      </c>
      <c r="I39" t="s">
        <v>132</v>
      </c>
      <c r="J39">
        <v>0.71</v>
      </c>
      <c r="K39" t="s">
        <v>43</v>
      </c>
      <c r="L39">
        <v>0.74</v>
      </c>
      <c r="M39" t="s">
        <v>41</v>
      </c>
      <c r="N39">
        <v>0.7</v>
      </c>
      <c r="O39" t="s">
        <v>42</v>
      </c>
      <c r="P39" t="s">
        <v>28</v>
      </c>
      <c r="Q39" t="s">
        <v>50</v>
      </c>
      <c r="R39">
        <v>0.84</v>
      </c>
      <c r="S39" t="s">
        <v>50</v>
      </c>
      <c r="T39" t="s">
        <v>61</v>
      </c>
      <c r="U39" t="s">
        <v>133</v>
      </c>
    </row>
    <row r="40" spans="1:24" x14ac:dyDescent="0.25">
      <c r="A40" t="s">
        <v>21</v>
      </c>
      <c r="B40" t="s">
        <v>124</v>
      </c>
      <c r="C40" t="s">
        <v>125</v>
      </c>
      <c r="D40" t="s">
        <v>134</v>
      </c>
      <c r="E40" t="s">
        <v>135</v>
      </c>
      <c r="F40">
        <v>0.77</v>
      </c>
      <c r="G40">
        <v>0.67</v>
      </c>
      <c r="H40">
        <v>0.85</v>
      </c>
      <c r="I40" t="s">
        <v>53</v>
      </c>
      <c r="J40">
        <v>0.67</v>
      </c>
      <c r="K40" t="s">
        <v>61</v>
      </c>
      <c r="L40">
        <v>0.76</v>
      </c>
      <c r="M40" t="s">
        <v>80</v>
      </c>
      <c r="N40">
        <v>0.67</v>
      </c>
      <c r="O40" t="s">
        <v>60</v>
      </c>
      <c r="P40" t="s">
        <v>49</v>
      </c>
      <c r="Q40" t="s">
        <v>80</v>
      </c>
      <c r="R40">
        <v>0.85</v>
      </c>
      <c r="S40" t="s">
        <v>52</v>
      </c>
      <c r="T40" t="s">
        <v>55</v>
      </c>
      <c r="U40" t="s">
        <v>136</v>
      </c>
    </row>
    <row r="41" spans="1:24" x14ac:dyDescent="0.25">
      <c r="A41" t="s">
        <v>21</v>
      </c>
      <c r="B41" t="s">
        <v>124</v>
      </c>
      <c r="C41" t="s">
        <v>125</v>
      </c>
      <c r="D41" t="s">
        <v>137</v>
      </c>
      <c r="E41" t="s">
        <v>138</v>
      </c>
      <c r="F41">
        <v>0.76</v>
      </c>
      <c r="G41">
        <v>0.66</v>
      </c>
      <c r="H41">
        <v>0.76</v>
      </c>
      <c r="I41" t="s">
        <v>34</v>
      </c>
      <c r="J41">
        <v>0.68</v>
      </c>
      <c r="K41" t="s">
        <v>36</v>
      </c>
      <c r="L41">
        <v>0.77</v>
      </c>
      <c r="M41" t="s">
        <v>30</v>
      </c>
      <c r="N41">
        <v>0.68</v>
      </c>
      <c r="O41" t="s">
        <v>46</v>
      </c>
      <c r="P41" t="s">
        <v>28</v>
      </c>
      <c r="Q41" t="s">
        <v>31</v>
      </c>
      <c r="R41">
        <v>0.87</v>
      </c>
      <c r="S41" t="s">
        <v>49</v>
      </c>
      <c r="T41" t="s">
        <v>37</v>
      </c>
      <c r="U41" t="s">
        <v>139</v>
      </c>
    </row>
    <row r="42" spans="1:24" x14ac:dyDescent="0.25">
      <c r="A42" t="s">
        <v>21</v>
      </c>
      <c r="B42" t="s">
        <v>124</v>
      </c>
      <c r="C42" t="s">
        <v>125</v>
      </c>
      <c r="D42" t="s">
        <v>140</v>
      </c>
      <c r="E42" t="s">
        <v>141</v>
      </c>
      <c r="F42">
        <v>0.76</v>
      </c>
      <c r="G42">
        <v>0.66</v>
      </c>
      <c r="H42">
        <v>0.77</v>
      </c>
      <c r="I42" t="s">
        <v>53</v>
      </c>
      <c r="J42">
        <v>0.74</v>
      </c>
      <c r="K42" t="s">
        <v>43</v>
      </c>
      <c r="L42">
        <v>0.73</v>
      </c>
      <c r="M42" t="s">
        <v>30</v>
      </c>
      <c r="N42">
        <v>0.74</v>
      </c>
      <c r="O42" t="s">
        <v>33</v>
      </c>
      <c r="P42" t="s">
        <v>50</v>
      </c>
      <c r="Q42" t="s">
        <v>50</v>
      </c>
      <c r="R42">
        <v>0.82</v>
      </c>
      <c r="S42" t="s">
        <v>42</v>
      </c>
      <c r="T42" t="s">
        <v>44</v>
      </c>
      <c r="U42" t="s">
        <v>142</v>
      </c>
    </row>
    <row r="43" spans="1:24" x14ac:dyDescent="0.25">
      <c r="A43" t="s">
        <v>21</v>
      </c>
      <c r="B43" t="s">
        <v>124</v>
      </c>
      <c r="C43" t="s">
        <v>125</v>
      </c>
      <c r="D43" t="s">
        <v>143</v>
      </c>
      <c r="E43" t="s">
        <v>144</v>
      </c>
      <c r="F43">
        <v>0.73</v>
      </c>
      <c r="G43">
        <v>0.62</v>
      </c>
      <c r="H43">
        <v>0.75</v>
      </c>
      <c r="I43" t="s">
        <v>44</v>
      </c>
      <c r="J43">
        <v>0.72</v>
      </c>
      <c r="K43" t="s">
        <v>54</v>
      </c>
      <c r="L43">
        <v>0.67</v>
      </c>
      <c r="M43" t="s">
        <v>43</v>
      </c>
      <c r="N43">
        <v>0.74</v>
      </c>
      <c r="O43" t="s">
        <v>53</v>
      </c>
      <c r="P43" t="s">
        <v>80</v>
      </c>
      <c r="Q43" t="s">
        <v>53</v>
      </c>
      <c r="R43">
        <v>0.76</v>
      </c>
      <c r="S43" t="s">
        <v>34</v>
      </c>
      <c r="T43" t="s">
        <v>34</v>
      </c>
      <c r="U43" t="s">
        <v>145</v>
      </c>
    </row>
    <row r="45" spans="1:24" x14ac:dyDescent="0.25">
      <c r="A45" t="s">
        <v>21</v>
      </c>
      <c r="B45" t="s">
        <v>146</v>
      </c>
      <c r="C45" t="s">
        <v>147</v>
      </c>
      <c r="D45" t="s">
        <v>126</v>
      </c>
      <c r="E45" t="s">
        <v>148</v>
      </c>
      <c r="F45">
        <v>0.73</v>
      </c>
      <c r="G45">
        <v>0.61</v>
      </c>
      <c r="H45">
        <v>0.9</v>
      </c>
      <c r="I45">
        <v>0.67</v>
      </c>
      <c r="J45">
        <v>0.7</v>
      </c>
      <c r="K45">
        <v>0.61</v>
      </c>
      <c r="L45">
        <v>0.76</v>
      </c>
      <c r="M45">
        <v>0.62</v>
      </c>
      <c r="N45">
        <v>0.64</v>
      </c>
      <c r="O45">
        <v>0.64</v>
      </c>
      <c r="P45">
        <v>0.64</v>
      </c>
      <c r="Q45">
        <v>0.57999999999999996</v>
      </c>
      <c r="R45">
        <v>0.71</v>
      </c>
      <c r="S45">
        <v>0.54</v>
      </c>
      <c r="T45" t="s">
        <v>44</v>
      </c>
      <c r="U45" t="s">
        <v>136</v>
      </c>
      <c r="W45" s="1">
        <f>(H45+L45+P45+R45)/4</f>
        <v>0.75250000000000006</v>
      </c>
      <c r="X45" s="1">
        <f>(I45+M45+Q45+S45)/4</f>
        <v>0.60250000000000004</v>
      </c>
    </row>
    <row r="46" spans="1:24" x14ac:dyDescent="0.25">
      <c r="A46" t="s">
        <v>21</v>
      </c>
      <c r="B46" t="s">
        <v>146</v>
      </c>
      <c r="C46" t="s">
        <v>147</v>
      </c>
      <c r="D46" t="s">
        <v>149</v>
      </c>
      <c r="E46" t="s">
        <v>150</v>
      </c>
      <c r="F46">
        <v>0.7</v>
      </c>
      <c r="G46">
        <v>0.6</v>
      </c>
      <c r="H46">
        <v>0.74</v>
      </c>
      <c r="I46" t="s">
        <v>65</v>
      </c>
      <c r="J46">
        <v>0.66</v>
      </c>
      <c r="K46" t="s">
        <v>41</v>
      </c>
      <c r="L46">
        <v>0.76</v>
      </c>
      <c r="M46" t="s">
        <v>26</v>
      </c>
      <c r="N46">
        <v>0.63</v>
      </c>
      <c r="O46" t="s">
        <v>36</v>
      </c>
      <c r="P46" t="s">
        <v>32</v>
      </c>
      <c r="Q46" t="s">
        <v>34</v>
      </c>
      <c r="R46">
        <v>0.73</v>
      </c>
      <c r="S46" t="s">
        <v>55</v>
      </c>
      <c r="T46" t="s">
        <v>44</v>
      </c>
      <c r="U46" t="s">
        <v>83</v>
      </c>
    </row>
    <row r="47" spans="1:24" x14ac:dyDescent="0.25">
      <c r="A47" t="s">
        <v>21</v>
      </c>
      <c r="B47" t="s">
        <v>146</v>
      </c>
      <c r="C47" t="s">
        <v>147</v>
      </c>
      <c r="D47" t="s">
        <v>151</v>
      </c>
      <c r="E47" t="s">
        <v>152</v>
      </c>
      <c r="F47">
        <v>0.69</v>
      </c>
      <c r="G47">
        <v>0.54</v>
      </c>
      <c r="H47">
        <v>0.83</v>
      </c>
      <c r="I47" t="s">
        <v>30</v>
      </c>
      <c r="J47">
        <v>0.7</v>
      </c>
      <c r="K47" t="s">
        <v>30</v>
      </c>
      <c r="L47">
        <v>0.76</v>
      </c>
      <c r="M47" t="s">
        <v>55</v>
      </c>
      <c r="N47">
        <v>0.55000000000000004</v>
      </c>
      <c r="O47" t="s">
        <v>153</v>
      </c>
      <c r="P47" t="s">
        <v>46</v>
      </c>
      <c r="Q47" t="s">
        <v>145</v>
      </c>
      <c r="R47">
        <v>0.75</v>
      </c>
      <c r="S47" t="s">
        <v>55</v>
      </c>
      <c r="T47" t="s">
        <v>55</v>
      </c>
      <c r="U47" t="s">
        <v>61</v>
      </c>
    </row>
    <row r="48" spans="1:24" x14ac:dyDescent="0.25">
      <c r="A48" t="s">
        <v>21</v>
      </c>
      <c r="B48" t="s">
        <v>146</v>
      </c>
      <c r="C48" t="s">
        <v>147</v>
      </c>
      <c r="D48" t="s">
        <v>154</v>
      </c>
      <c r="E48" t="s">
        <v>155</v>
      </c>
      <c r="F48">
        <v>0.68</v>
      </c>
      <c r="G48">
        <v>0.57999999999999996</v>
      </c>
      <c r="H48">
        <v>0.85</v>
      </c>
      <c r="I48" t="s">
        <v>27</v>
      </c>
      <c r="J48">
        <v>0.64</v>
      </c>
      <c r="K48" t="s">
        <v>41</v>
      </c>
      <c r="L48">
        <v>0.7</v>
      </c>
      <c r="M48" t="s">
        <v>37</v>
      </c>
      <c r="N48">
        <v>0.59</v>
      </c>
      <c r="O48" t="s">
        <v>45</v>
      </c>
      <c r="P48" t="s">
        <v>37</v>
      </c>
      <c r="Q48" t="s">
        <v>123</v>
      </c>
      <c r="R48">
        <v>0.77</v>
      </c>
      <c r="S48" t="s">
        <v>30</v>
      </c>
      <c r="T48" t="s">
        <v>44</v>
      </c>
      <c r="U48" t="s">
        <v>142</v>
      </c>
    </row>
    <row r="49" spans="1:21" x14ac:dyDescent="0.25">
      <c r="A49" t="s">
        <v>21</v>
      </c>
      <c r="B49" t="s">
        <v>146</v>
      </c>
      <c r="C49" t="s">
        <v>147</v>
      </c>
      <c r="D49" t="s">
        <v>156</v>
      </c>
      <c r="E49" t="s">
        <v>157</v>
      </c>
      <c r="F49">
        <v>0.67</v>
      </c>
      <c r="G49">
        <v>0.52</v>
      </c>
      <c r="H49">
        <v>0.71</v>
      </c>
      <c r="I49" t="s">
        <v>44</v>
      </c>
      <c r="J49">
        <v>0.69</v>
      </c>
      <c r="K49" t="s">
        <v>35</v>
      </c>
      <c r="L49">
        <v>0.79</v>
      </c>
      <c r="M49" t="s">
        <v>37</v>
      </c>
      <c r="N49">
        <v>0.55000000000000004</v>
      </c>
      <c r="O49" t="s">
        <v>158</v>
      </c>
      <c r="P49" t="s">
        <v>46</v>
      </c>
      <c r="Q49" t="s">
        <v>136</v>
      </c>
      <c r="R49">
        <v>0.72</v>
      </c>
      <c r="S49" t="s">
        <v>44</v>
      </c>
      <c r="T49" t="s">
        <v>37</v>
      </c>
      <c r="U49" t="s">
        <v>139</v>
      </c>
    </row>
    <row r="50" spans="1:21" x14ac:dyDescent="0.25">
      <c r="A50" t="s">
        <v>21</v>
      </c>
      <c r="B50" t="s">
        <v>146</v>
      </c>
      <c r="C50" t="s">
        <v>147</v>
      </c>
      <c r="D50" t="s">
        <v>159</v>
      </c>
      <c r="E50" t="s">
        <v>160</v>
      </c>
      <c r="F50">
        <v>0.66</v>
      </c>
      <c r="G50">
        <v>0.55000000000000004</v>
      </c>
      <c r="H50">
        <v>0.69</v>
      </c>
      <c r="I50" t="s">
        <v>37</v>
      </c>
      <c r="J50">
        <v>0.68</v>
      </c>
      <c r="K50" t="s">
        <v>44</v>
      </c>
      <c r="L50">
        <v>0.76</v>
      </c>
      <c r="M50" t="s">
        <v>34</v>
      </c>
      <c r="N50">
        <v>0.62</v>
      </c>
      <c r="O50" t="s">
        <v>43</v>
      </c>
      <c r="P50" t="s">
        <v>37</v>
      </c>
      <c r="Q50" t="s">
        <v>91</v>
      </c>
      <c r="R50">
        <v>0.69</v>
      </c>
      <c r="S50" t="s">
        <v>61</v>
      </c>
      <c r="T50" t="s">
        <v>55</v>
      </c>
      <c r="U50" t="s">
        <v>145</v>
      </c>
    </row>
    <row r="53" spans="1:21" x14ac:dyDescent="0.25">
      <c r="D53" t="s">
        <v>161</v>
      </c>
      <c r="E53" t="s">
        <v>162</v>
      </c>
      <c r="G53" s="1"/>
    </row>
    <row r="54" spans="1:21" x14ac:dyDescent="0.25">
      <c r="C54" t="s">
        <v>23</v>
      </c>
      <c r="D54" s="1">
        <f>F2</f>
        <v>0.7</v>
      </c>
      <c r="E54" s="1">
        <f>G2</f>
        <v>0.65</v>
      </c>
      <c r="F54" s="3"/>
      <c r="J54" t="s">
        <v>23</v>
      </c>
      <c r="K54" t="s">
        <v>75</v>
      </c>
      <c r="L54" t="s">
        <v>93</v>
      </c>
      <c r="M54" t="s">
        <v>109</v>
      </c>
      <c r="N54" t="s">
        <v>125</v>
      </c>
      <c r="O54" t="s">
        <v>147</v>
      </c>
    </row>
    <row r="55" spans="1:21" x14ac:dyDescent="0.25">
      <c r="C55" t="s">
        <v>75</v>
      </c>
      <c r="D55" s="1">
        <f>F13</f>
        <v>0.8</v>
      </c>
      <c r="E55" s="1">
        <f>G13</f>
        <v>0.73</v>
      </c>
      <c r="F55" s="1"/>
      <c r="I55">
        <v>1</v>
      </c>
      <c r="J55">
        <v>0.84</v>
      </c>
      <c r="K55">
        <v>0.87</v>
      </c>
      <c r="L55">
        <v>0.78</v>
      </c>
      <c r="M55">
        <v>0.89</v>
      </c>
      <c r="N55">
        <v>0.92</v>
      </c>
      <c r="O55">
        <v>0.9</v>
      </c>
    </row>
    <row r="56" spans="1:21" x14ac:dyDescent="0.25">
      <c r="C56" t="s">
        <v>93</v>
      </c>
      <c r="D56" s="1">
        <f>F21</f>
        <v>0.72</v>
      </c>
      <c r="E56" s="3">
        <f>G21</f>
        <v>0.65</v>
      </c>
      <c r="F56" s="1"/>
      <c r="I56">
        <v>2</v>
      </c>
      <c r="J56">
        <v>0.83</v>
      </c>
      <c r="K56">
        <v>1</v>
      </c>
      <c r="L56">
        <v>0.68</v>
      </c>
      <c r="M56">
        <v>1</v>
      </c>
      <c r="N56">
        <v>0.89</v>
      </c>
      <c r="O56">
        <v>0.74</v>
      </c>
    </row>
    <row r="57" spans="1:21" x14ac:dyDescent="0.25">
      <c r="C57" t="s">
        <v>109</v>
      </c>
      <c r="D57" s="1">
        <f>F29</f>
        <v>0.77</v>
      </c>
      <c r="E57" s="1">
        <f>G29</f>
        <v>0.69</v>
      </c>
      <c r="F57" s="1"/>
      <c r="I57">
        <v>3</v>
      </c>
      <c r="J57">
        <v>0.8</v>
      </c>
      <c r="K57">
        <v>1</v>
      </c>
      <c r="L57">
        <v>0.72</v>
      </c>
      <c r="M57">
        <v>0.85</v>
      </c>
      <c r="N57">
        <v>0.97</v>
      </c>
      <c r="O57">
        <v>0.83</v>
      </c>
    </row>
    <row r="58" spans="1:21" x14ac:dyDescent="0.25">
      <c r="C58" t="s">
        <v>125</v>
      </c>
      <c r="D58" s="1">
        <f>F37</f>
        <v>0.8</v>
      </c>
      <c r="E58" s="1">
        <f>G37</f>
        <v>0.68</v>
      </c>
      <c r="F58" s="1"/>
      <c r="I58">
        <v>4</v>
      </c>
      <c r="J58">
        <v>0.8</v>
      </c>
      <c r="K58">
        <v>1</v>
      </c>
      <c r="L58">
        <v>0.78</v>
      </c>
      <c r="M58">
        <v>0.79</v>
      </c>
      <c r="N58">
        <v>0.85</v>
      </c>
      <c r="O58">
        <v>0.85</v>
      </c>
    </row>
    <row r="59" spans="1:21" x14ac:dyDescent="0.25">
      <c r="C59" t="s">
        <v>147</v>
      </c>
      <c r="D59">
        <f>F45</f>
        <v>0.73</v>
      </c>
      <c r="E59">
        <f>G45</f>
        <v>0.61</v>
      </c>
      <c r="I59">
        <v>5</v>
      </c>
      <c r="J59">
        <v>0.75</v>
      </c>
      <c r="K59">
        <v>0.9</v>
      </c>
      <c r="L59">
        <v>0.74</v>
      </c>
      <c r="M59">
        <v>0.77</v>
      </c>
      <c r="N59">
        <v>0.76</v>
      </c>
      <c r="O59">
        <v>0.71</v>
      </c>
    </row>
    <row r="60" spans="1:21" x14ac:dyDescent="0.25">
      <c r="I60">
        <v>6</v>
      </c>
      <c r="J60">
        <v>0.84</v>
      </c>
      <c r="K60">
        <v>0.79</v>
      </c>
      <c r="L60">
        <v>0.65</v>
      </c>
      <c r="M60">
        <v>0.77</v>
      </c>
      <c r="N60">
        <v>0.77</v>
      </c>
      <c r="O60">
        <v>0.69</v>
      </c>
    </row>
    <row r="79" spans="4:16" x14ac:dyDescent="0.25">
      <c r="K79" t="s">
        <v>23</v>
      </c>
      <c r="L79" t="s">
        <v>75</v>
      </c>
      <c r="M79" t="s">
        <v>93</v>
      </c>
      <c r="N79" t="s">
        <v>109</v>
      </c>
      <c r="O79" t="s">
        <v>125</v>
      </c>
      <c r="P79" t="s">
        <v>147</v>
      </c>
    </row>
    <row r="80" spans="4:16" x14ac:dyDescent="0.25">
      <c r="D80" t="s">
        <v>161</v>
      </c>
      <c r="E80" t="s">
        <v>162</v>
      </c>
      <c r="J80">
        <v>1</v>
      </c>
      <c r="K80">
        <v>0.73</v>
      </c>
      <c r="L80">
        <v>0.79</v>
      </c>
      <c r="M80">
        <v>0.76</v>
      </c>
      <c r="N80">
        <v>0.76</v>
      </c>
      <c r="O80">
        <v>0.7</v>
      </c>
      <c r="P80">
        <v>0.7</v>
      </c>
    </row>
    <row r="81" spans="3:16" x14ac:dyDescent="0.25">
      <c r="C81" t="s">
        <v>23</v>
      </c>
      <c r="D81" s="1">
        <f>W2</f>
        <v>0.7</v>
      </c>
      <c r="E81" s="1">
        <f>X2</f>
        <v>0.66500000000000004</v>
      </c>
      <c r="J81">
        <v>2</v>
      </c>
      <c r="K81">
        <v>0.69</v>
      </c>
      <c r="L81">
        <v>0.74</v>
      </c>
      <c r="M81">
        <v>0.71</v>
      </c>
      <c r="N81">
        <v>0.65</v>
      </c>
      <c r="O81">
        <v>0.73</v>
      </c>
      <c r="P81">
        <v>0.66</v>
      </c>
    </row>
    <row r="82" spans="3:16" x14ac:dyDescent="0.25">
      <c r="C82" t="s">
        <v>75</v>
      </c>
      <c r="D82" s="1">
        <f>W13</f>
        <v>0.82499999999999996</v>
      </c>
      <c r="E82" s="1">
        <f>X13</f>
        <v>0.72499999999999987</v>
      </c>
      <c r="J82">
        <v>3</v>
      </c>
      <c r="K82">
        <v>0.7</v>
      </c>
      <c r="L82">
        <v>0.72</v>
      </c>
      <c r="M82">
        <v>0.67</v>
      </c>
      <c r="N82">
        <v>0.71</v>
      </c>
      <c r="O82">
        <v>0.71</v>
      </c>
      <c r="P82">
        <v>0.7</v>
      </c>
    </row>
    <row r="83" spans="3:16" x14ac:dyDescent="0.25">
      <c r="C83" t="s">
        <v>93</v>
      </c>
      <c r="D83" s="1">
        <f>W21</f>
        <v>0.71</v>
      </c>
      <c r="E83" s="3">
        <f>X21</f>
        <v>0.64500000000000002</v>
      </c>
      <c r="J83">
        <v>4</v>
      </c>
      <c r="K83">
        <v>0.69</v>
      </c>
      <c r="L83">
        <v>0.72</v>
      </c>
      <c r="M83">
        <v>0.66</v>
      </c>
      <c r="N83">
        <v>0.72</v>
      </c>
      <c r="O83">
        <v>0.67</v>
      </c>
      <c r="P83">
        <v>0.64</v>
      </c>
    </row>
    <row r="84" spans="3:16" x14ac:dyDescent="0.25">
      <c r="C84" t="s">
        <v>109</v>
      </c>
      <c r="D84" s="1">
        <f>W29</f>
        <v>0.76750000000000007</v>
      </c>
      <c r="E84" s="1">
        <f>X29</f>
        <v>0.69</v>
      </c>
      <c r="J84">
        <v>5</v>
      </c>
      <c r="K84">
        <v>0.75</v>
      </c>
      <c r="L84">
        <v>0.66</v>
      </c>
      <c r="M84">
        <v>0.61</v>
      </c>
      <c r="N84">
        <v>0.75</v>
      </c>
      <c r="O84">
        <v>0.68</v>
      </c>
      <c r="P84">
        <v>0.69</v>
      </c>
    </row>
    <row r="85" spans="3:16" x14ac:dyDescent="0.25">
      <c r="C85" t="s">
        <v>125</v>
      </c>
      <c r="D85" s="1">
        <f>W37</f>
        <v>0.84499999999999997</v>
      </c>
      <c r="E85" s="1">
        <f>X37</f>
        <v>0.71750000000000003</v>
      </c>
      <c r="J85">
        <v>6</v>
      </c>
      <c r="K85">
        <v>0.67</v>
      </c>
      <c r="L85">
        <v>0.64</v>
      </c>
      <c r="M85">
        <v>0.68</v>
      </c>
      <c r="N85">
        <v>0.7</v>
      </c>
      <c r="O85">
        <v>0.74</v>
      </c>
      <c r="P85">
        <v>0.68</v>
      </c>
    </row>
    <row r="86" spans="3:16" x14ac:dyDescent="0.25">
      <c r="C86" t="s">
        <v>147</v>
      </c>
      <c r="D86" s="1">
        <f>W45</f>
        <v>0.75250000000000006</v>
      </c>
      <c r="E86" s="1">
        <f>X45</f>
        <v>0.60250000000000004</v>
      </c>
    </row>
    <row r="104" spans="2:23" x14ac:dyDescent="0.25">
      <c r="L104" s="2" t="s">
        <v>163</v>
      </c>
      <c r="M104" t="s">
        <v>164</v>
      </c>
      <c r="V104" s="2" t="s">
        <v>163</v>
      </c>
      <c r="W104" t="s">
        <v>164</v>
      </c>
    </row>
    <row r="105" spans="2:23" x14ac:dyDescent="0.25">
      <c r="K105" t="s">
        <v>175</v>
      </c>
      <c r="L105">
        <v>0.8</v>
      </c>
      <c r="M105">
        <v>0.73</v>
      </c>
      <c r="U105" t="s">
        <v>182</v>
      </c>
      <c r="V105">
        <v>0.72</v>
      </c>
      <c r="W105">
        <v>0.65</v>
      </c>
    </row>
    <row r="106" spans="2:23" x14ac:dyDescent="0.25">
      <c r="K106" t="s">
        <v>176</v>
      </c>
      <c r="L106">
        <v>0.79</v>
      </c>
      <c r="M106">
        <v>0.73</v>
      </c>
      <c r="U106" t="s">
        <v>183</v>
      </c>
      <c r="V106">
        <v>0.71</v>
      </c>
      <c r="W106">
        <v>0.66</v>
      </c>
    </row>
    <row r="107" spans="2:23" x14ac:dyDescent="0.25">
      <c r="K107" t="s">
        <v>177</v>
      </c>
      <c r="L107">
        <v>0.79</v>
      </c>
      <c r="M107">
        <v>0.74</v>
      </c>
      <c r="U107" t="s">
        <v>184</v>
      </c>
      <c r="V107">
        <v>0.7</v>
      </c>
      <c r="W107">
        <v>0.65</v>
      </c>
    </row>
    <row r="108" spans="2:23" x14ac:dyDescent="0.25">
      <c r="K108" t="s">
        <v>178</v>
      </c>
      <c r="L108">
        <v>0.77</v>
      </c>
      <c r="M108">
        <v>0.68</v>
      </c>
      <c r="U108" t="s">
        <v>185</v>
      </c>
      <c r="V108">
        <v>0.7</v>
      </c>
      <c r="W108">
        <v>0.63</v>
      </c>
    </row>
    <row r="109" spans="2:23" x14ac:dyDescent="0.25">
      <c r="C109" s="2" t="s">
        <v>163</v>
      </c>
      <c r="D109" t="s">
        <v>164</v>
      </c>
      <c r="K109" t="s">
        <v>179</v>
      </c>
      <c r="L109">
        <v>0.73</v>
      </c>
      <c r="M109">
        <v>0.67</v>
      </c>
      <c r="U109" t="s">
        <v>186</v>
      </c>
      <c r="V109">
        <v>0.66</v>
      </c>
      <c r="W109">
        <v>0.6</v>
      </c>
    </row>
    <row r="110" spans="2:23" x14ac:dyDescent="0.25">
      <c r="B110" t="s">
        <v>165</v>
      </c>
      <c r="C110">
        <v>0.7</v>
      </c>
      <c r="D110">
        <v>0.65</v>
      </c>
      <c r="K110" t="s">
        <v>180</v>
      </c>
      <c r="L110">
        <v>0.71</v>
      </c>
      <c r="M110">
        <v>0.65</v>
      </c>
      <c r="U110" t="s">
        <v>187</v>
      </c>
      <c r="V110">
        <v>0.66</v>
      </c>
      <c r="W110">
        <v>0.61</v>
      </c>
    </row>
    <row r="111" spans="2:23" x14ac:dyDescent="0.25">
      <c r="B111" t="s">
        <v>166</v>
      </c>
      <c r="C111">
        <v>0.7</v>
      </c>
      <c r="D111">
        <v>0.63</v>
      </c>
      <c r="K111" t="s">
        <v>181</v>
      </c>
      <c r="L111">
        <v>0.69</v>
      </c>
      <c r="M111">
        <v>0.63</v>
      </c>
      <c r="U111" t="s">
        <v>188</v>
      </c>
      <c r="V111">
        <v>0.64</v>
      </c>
      <c r="W111">
        <v>0.57999999999999996</v>
      </c>
    </row>
    <row r="112" spans="2:23" x14ac:dyDescent="0.25">
      <c r="B112" t="s">
        <v>167</v>
      </c>
      <c r="C112">
        <v>0.7</v>
      </c>
      <c r="D112">
        <v>0.6</v>
      </c>
    </row>
    <row r="113" spans="2:4" x14ac:dyDescent="0.25">
      <c r="B113" t="s">
        <v>168</v>
      </c>
      <c r="C113">
        <v>0.7</v>
      </c>
      <c r="D113">
        <v>0.62</v>
      </c>
    </row>
    <row r="114" spans="2:4" x14ac:dyDescent="0.25">
      <c r="B114" t="s">
        <v>169</v>
      </c>
      <c r="C114">
        <v>0.69</v>
      </c>
      <c r="D114">
        <v>0.64</v>
      </c>
    </row>
    <row r="115" spans="2:4" x14ac:dyDescent="0.25">
      <c r="B115" t="s">
        <v>170</v>
      </c>
      <c r="C115">
        <v>0.68</v>
      </c>
      <c r="D115">
        <v>0.6</v>
      </c>
    </row>
    <row r="116" spans="2:4" x14ac:dyDescent="0.25">
      <c r="B116" t="s">
        <v>171</v>
      </c>
      <c r="C116">
        <v>0.68</v>
      </c>
      <c r="D116">
        <v>0.62</v>
      </c>
    </row>
    <row r="117" spans="2:4" x14ac:dyDescent="0.25">
      <c r="B117" t="s">
        <v>172</v>
      </c>
      <c r="C117">
        <v>0.67</v>
      </c>
      <c r="D117">
        <v>0.6</v>
      </c>
    </row>
    <row r="118" spans="2:4" x14ac:dyDescent="0.25">
      <c r="B118" t="s">
        <v>173</v>
      </c>
      <c r="C118">
        <v>0.67</v>
      </c>
      <c r="D118">
        <v>0.61</v>
      </c>
    </row>
    <row r="119" spans="2:4" x14ac:dyDescent="0.25">
      <c r="B119" t="s">
        <v>174</v>
      </c>
      <c r="C119">
        <v>0.66</v>
      </c>
      <c r="D119">
        <v>0.6</v>
      </c>
    </row>
    <row r="141" spans="3:22" x14ac:dyDescent="0.25">
      <c r="D141" s="2" t="s">
        <v>163</v>
      </c>
      <c r="E141" t="s">
        <v>164</v>
      </c>
      <c r="L141" s="2" t="s">
        <v>163</v>
      </c>
      <c r="M141" t="s">
        <v>164</v>
      </c>
      <c r="U141" s="2" t="s">
        <v>163</v>
      </c>
      <c r="V141" t="s">
        <v>164</v>
      </c>
    </row>
    <row r="142" spans="3:22" x14ac:dyDescent="0.25">
      <c r="C142" t="s">
        <v>184</v>
      </c>
      <c r="D142">
        <v>0.77</v>
      </c>
      <c r="E142">
        <v>0.69</v>
      </c>
      <c r="K142" t="s">
        <v>195</v>
      </c>
      <c r="L142">
        <v>0.8</v>
      </c>
      <c r="M142">
        <v>0.68</v>
      </c>
      <c r="T142" t="s">
        <v>195</v>
      </c>
      <c r="U142">
        <v>0.73</v>
      </c>
      <c r="V142">
        <v>0.61</v>
      </c>
    </row>
    <row r="143" spans="3:22" x14ac:dyDescent="0.25">
      <c r="C143" t="s">
        <v>189</v>
      </c>
      <c r="D143">
        <v>0.75</v>
      </c>
      <c r="E143">
        <v>0.69</v>
      </c>
      <c r="K143" t="s">
        <v>196</v>
      </c>
      <c r="L143">
        <v>0.79</v>
      </c>
      <c r="M143">
        <v>0.68</v>
      </c>
      <c r="T143" t="s">
        <v>202</v>
      </c>
      <c r="U143">
        <v>0.7</v>
      </c>
      <c r="V143">
        <v>0.6</v>
      </c>
    </row>
    <row r="144" spans="3:22" x14ac:dyDescent="0.25">
      <c r="C144" t="s">
        <v>190</v>
      </c>
      <c r="D144">
        <v>0.74</v>
      </c>
      <c r="E144">
        <v>0.66</v>
      </c>
      <c r="K144" t="s">
        <v>197</v>
      </c>
      <c r="L144">
        <v>0.79</v>
      </c>
      <c r="M144">
        <v>0.73</v>
      </c>
      <c r="T144" t="s">
        <v>203</v>
      </c>
      <c r="U144">
        <v>0.69</v>
      </c>
      <c r="V144">
        <v>0.54</v>
      </c>
    </row>
    <row r="145" spans="3:22" x14ac:dyDescent="0.25">
      <c r="C145" t="s">
        <v>191</v>
      </c>
      <c r="D145">
        <v>0.74</v>
      </c>
      <c r="E145">
        <v>0.66</v>
      </c>
      <c r="K145" t="s">
        <v>198</v>
      </c>
      <c r="L145">
        <v>0.77</v>
      </c>
      <c r="M145">
        <v>0.67</v>
      </c>
      <c r="T145" t="s">
        <v>204</v>
      </c>
      <c r="U145">
        <v>0.68</v>
      </c>
      <c r="V145">
        <v>0.57999999999999996</v>
      </c>
    </row>
    <row r="146" spans="3:22" x14ac:dyDescent="0.25">
      <c r="C146" t="s">
        <v>192</v>
      </c>
      <c r="D146">
        <v>0.7</v>
      </c>
      <c r="E146">
        <v>0.59</v>
      </c>
      <c r="K146" t="s">
        <v>199</v>
      </c>
      <c r="L146">
        <v>0.76</v>
      </c>
      <c r="M146">
        <v>0.66</v>
      </c>
      <c r="T146" t="s">
        <v>205</v>
      </c>
      <c r="U146">
        <v>0.67</v>
      </c>
      <c r="V146">
        <v>0.52</v>
      </c>
    </row>
    <row r="147" spans="3:22" x14ac:dyDescent="0.25">
      <c r="C147" t="s">
        <v>193</v>
      </c>
      <c r="D147">
        <v>0.68</v>
      </c>
      <c r="E147">
        <v>0.55000000000000004</v>
      </c>
      <c r="K147" t="s">
        <v>200</v>
      </c>
      <c r="L147">
        <v>0.76</v>
      </c>
      <c r="M147">
        <v>0.66</v>
      </c>
      <c r="T147" t="s">
        <v>206</v>
      </c>
      <c r="U147">
        <v>0.66</v>
      </c>
      <c r="V147">
        <v>0.55000000000000004</v>
      </c>
    </row>
    <row r="148" spans="3:22" x14ac:dyDescent="0.25">
      <c r="C148" t="s">
        <v>194</v>
      </c>
      <c r="D148">
        <v>0.67</v>
      </c>
      <c r="E148">
        <v>0.54</v>
      </c>
      <c r="K148" t="s">
        <v>201</v>
      </c>
      <c r="L148">
        <v>0.73</v>
      </c>
      <c r="M148">
        <v>0.62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resume-to-jobPosts.xlsx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Panagiotis Skondras</cp:lastModifiedBy>
  <dcterms:created xsi:type="dcterms:W3CDTF">2025-10-21T08:19:16Z</dcterms:created>
  <dcterms:modified xsi:type="dcterms:W3CDTF">2025-11-04T07:39:14Z</dcterms:modified>
</cp:coreProperties>
</file>